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9fae65ffc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ультаты" sheetId="1" r:id="Rdb11d55151c14f11"/>
    <x:sheet xmlns:r="http://schemas.openxmlformats.org/officeDocument/2006/relationships" name="PSI признаков" sheetId="2" r:id="R12e4fcc3208e4522"/>
    <x:sheet xmlns:r="http://schemas.openxmlformats.org/officeDocument/2006/relationships" name="Методика" sheetId="3" r:id="R45eebd08d9b5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.0000"/>
    <x:numFmt numFmtId="203" formatCode="0.000000"/>
    <x:numFmt numFmtId="204" formatCode="0.00000000"/>
    <x:numFmt numFmtId="205" formatCode="0"/>
  </x:numFmts>
  <x:fonts count="7">
    <x:font>
      <x:sz val="11"/>
      <x:name val="Carlito"/>
    </x:font>
    <x:font>
      <x:sz val="11"/>
      <x:color rgb="FF192A3D"/>
      <x:name val="Arial"/>
    </x:font>
    <x:font>
      <x:b/>
      <x:sz val="15"/>
      <x:color rgb="FF192A3D"/>
      <x:name val="Arial"/>
    </x:font>
    <x:font>
      <x:i/>
      <x:sz val="10"/>
      <x:color rgb="FF52657C"/>
      <x:name val="Arial"/>
    </x:font>
    <x:font>
      <x:b/>
      <x:sz val="11"/>
      <x:color rgb="FFFFFFFF"/>
      <x:name val="Arial"/>
    </x:font>
    <x:font>
      <x:sz val="10"/>
      <x:color rgb="FF192A3D"/>
      <x:name val="Arial"/>
    </x:font>
    <x:font>
      <x:b/>
      <x:sz val="11"/>
      <x:color rgb="FF192A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FF3F8"/>
      </x:patternFill>
    </x:fill>
    <x:fill>
      <x:patternFill patternType="solid">
        <x:fgColor rgb="FF243B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2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2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2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right" vertical="center" wrapText="1"/>
    </x:xf>
    <x:xf numFmtId="0" fontId="5" fillId="2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horizontal="right" wrapText="1"/>
    </x:xf>
    <x:xf numFmtId="204" fontId="5" fillId="2" borderId="0" xfId="0" applyNumberFormat="1" applyFont="1" applyFill="1" applyBorder="1" applyAlignment="1">
      <x:alignment horizontal="right" vertical="center" wrapText="1"/>
    </x:xf>
    <x:xf numFmtId="204" fontId="5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e1e4f5a3c4201" /><Relationship Type="http://schemas.openxmlformats.org/officeDocument/2006/relationships/theme" Target="/xl/theme/theme1.xml" Id="Ra84e166003344adf" /><Relationship Type="http://schemas.openxmlformats.org/officeDocument/2006/relationships/sharedStrings" Target="/xl/sharedStrings.xml" Id="Rf51e4778585944b6" /><Relationship Type="http://schemas.openxmlformats.org/officeDocument/2006/relationships/worksheet" Target="/xl/worksheets/sheet1.xml" Id="Rdb11d55151c14f11" /><Relationship Type="http://schemas.openxmlformats.org/officeDocument/2006/relationships/worksheet" Target="/xl/worksheets/sheet2.xml" Id="R12e4fcc3208e4522" /><Relationship Type="http://schemas.openxmlformats.org/officeDocument/2006/relationships/worksheet" Target="/xl/worksheets/sheet3.xml" Id="R45eebd08d9b5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/>
  </x:sheetViews>
  <x:sheetFormatPr defaultRowHeight="15"/>
  <x:cols>
    <x:col min="1" max="1" width="3" hidden="0" customWidth="1"/>
    <x:col min="2" max="2" width="5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"/>
      <x:c r="B2" s="3" t="str">
        <x:v>Диагностика модели target_25</x:v>
      </x:c>
      <x:c r="C2" s="2"/>
      <x:c r="D2" s="2"/>
      <x:c r="E2" s="2"/>
      <x:c r="F2" s="2"/>
      <x:c r="G2" s="2"/>
    </x:row>
    <x:row r="3" ht="23" customHeight="1">
      <x:c r="A3" s="2"/>
      <x:c r="B3" s="4" t="str">
        <x:v>Источник: предоставленные результаты Jupyter. Период данных: сентябрь 2025 — февраль 2026.</x:v>
      </x:c>
      <x:c r="C3" s="2"/>
      <x:c r="D3" s="2"/>
      <x:c r="E3" s="2"/>
      <x:c r="F3" s="2"/>
      <x:c r="G3" s="2"/>
    </x:row>
    <x:row r="4" ht="23" customHeight="1">
      <x:c r="A4" s="2"/>
      <x:c r="B4" s="6" t="str">
        <x:v>PSI к сентябрю: в феврале все 40 ниже 0,10; максимум 0,0602532. Полная матрица — на листе «PSI признаков».</x:v>
      </x:c>
      <x:c r="C4" s="5"/>
      <x:c r="D4" s="5"/>
      <x:c r="E4" s="5"/>
      <x:c r="F4" s="5"/>
      <x:c r="G4" s="5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39" customHeight="1">
      <x:c r="A7" s="2"/>
      <x:c r="B7" s="10" t="str">
        <x:v>Месяц</x:v>
      </x:c>
      <x:c r="C7" s="10" t="str">
        <x:v>Выборка AUC</x:v>
      </x:c>
      <x:c r="D7" s="10" t="str">
        <x:v>Строк для AUC</x:v>
      </x:c>
      <x:c r="E7" s="10" t="str">
        <x:v>Доля Y=1, полная база</x:v>
      </x:c>
      <x:c r="F7" s="10" t="str">
        <x:v>Строк в полной базе</x:v>
      </x:c>
      <x:c r="G7" s="10" t="str">
        <x:v>ROC-AUC</x:v>
      </x:c>
    </x:row>
    <x:row r="8" ht="23" customHeight="1">
      <x:c r="A8" s="2"/>
      <x:c r="B8" s="13" t="str">
        <x:v>2025-09</x:v>
      </x:c>
      <x:c r="C8" s="15" t="str">
        <x:v>OOS</x:v>
      </x:c>
      <x:c r="D8" s="17" t="n">
        <x:v>45327</x:v>
      </x:c>
      <x:c r="E8" s="19" t="n">
        <x:v>0.759442</x:v>
      </x:c>
      <x:c r="F8" s="17" t="n">
        <x:v>226631</x:v>
      </x:c>
      <x:c r="G8" s="21" t="n">
        <x:v>0.950565</x:v>
      </x:c>
    </x:row>
    <x:row r="9" ht="23" customHeight="1">
      <x:c r="A9" s="2"/>
      <x:c r="B9" s="11" t="str">
        <x:v>2025-10</x:v>
      </x:c>
      <x:c r="C9" s="16" t="str">
        <x:v>OOS</x:v>
      </x:c>
      <x:c r="D9" s="18" t="n">
        <x:v>45587</x:v>
      </x:c>
      <x:c r="E9" s="20" t="n">
        <x:v>0.758413</x:v>
      </x:c>
      <x:c r="F9" s="18" t="n">
        <x:v>227934</x:v>
      </x:c>
      <x:c r="G9" s="22" t="n">
        <x:v>0.934216</x:v>
      </x:c>
    </x:row>
    <x:row r="10" ht="23" customHeight="1">
      <x:c r="A10" s="2"/>
      <x:c r="B10" s="13" t="str">
        <x:v>2025-11</x:v>
      </x:c>
      <x:c r="C10" s="15" t="str">
        <x:v>OOS</x:v>
      </x:c>
      <x:c r="D10" s="17" t="n">
        <x:v>46318</x:v>
      </x:c>
      <x:c r="E10" s="19" t="n">
        <x:v>0.764423</x:v>
      </x:c>
      <x:c r="F10" s="17" t="n">
        <x:v>231589</x:v>
      </x:c>
      <x:c r="G10" s="21" t="n">
        <x:v>0.907958</x:v>
      </x:c>
    </x:row>
    <x:row r="11" ht="23" customHeight="1">
      <x:c r="A11" s="2"/>
      <x:c r="B11" s="11" t="str">
        <x:v>2025-12</x:v>
      </x:c>
      <x:c r="C11" s="16" t="str">
        <x:v>OOS</x:v>
      </x:c>
      <x:c r="D11" s="18" t="n">
        <x:v>47031</x:v>
      </x:c>
      <x:c r="E11" s="20" t="n">
        <x:v>0.767177</x:v>
      </x:c>
      <x:c r="F11" s="18" t="n">
        <x:v>235157</x:v>
      </x:c>
      <x:c r="G11" s="22" t="n">
        <x:v>0.872964</x:v>
      </x:c>
    </x:row>
    <x:row r="12" ht="23" customHeight="1">
      <x:c r="A12" s="2"/>
      <x:c r="B12" s="13" t="str">
        <x:v>2026-01</x:v>
      </x:c>
      <x:c r="C12" s="15" t="str">
        <x:v>validation</x:v>
      </x:c>
      <x:c r="D12" s="17" t="n">
        <x:v>242504</x:v>
      </x:c>
      <x:c r="E12" s="19" t="n">
        <x:v>0.758346</x:v>
      </x:c>
      <x:c r="F12" s="17" t="n">
        <x:v>242504</x:v>
      </x:c>
      <x:c r="G12" s="21" t="n">
        <x:v>0.83331</x:v>
      </x:c>
    </x:row>
    <x:row r="13" ht="23" customHeight="1">
      <x:c r="A13" s="2"/>
      <x:c r="B13" s="11" t="str">
        <x:v>2026-02</x:v>
      </x:c>
      <x:c r="C13" s="16" t="str">
        <x:v>OOT</x:v>
      </x:c>
      <x:c r="D13" s="18" t="n">
        <x:v>239827</x:v>
      </x:c>
      <x:c r="E13" s="20" t="n">
        <x:v>0.748006</x:v>
      </x:c>
      <x:c r="F13" s="18" t="n">
        <x:v>239827</x:v>
      </x:c>
      <x:c r="G13" s="22" t="n">
        <x:v>0.772266</x:v>
      </x:c>
    </x:row>
    <x:row r="14" ht="23" customHeight="1">
      <x:c r="A14" s="2"/>
      <x:c r="B14" s="4" t="str">
        <x:v>Доля таргета — по полной базе месяца. AUC — только по выборке, указанной в отдельной колонке.</x:v>
      </x:c>
      <x:c r="C14" s="2"/>
      <x:c r="D14" s="2"/>
      <x:c r="E14" s="2"/>
      <x:c r="F14" s="2"/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30" customHeight="1">
      <x:c r="A17" s="2"/>
      <x:c r="B17" s="3" t="str">
        <x:v>Варианты построения</x:v>
      </x:c>
      <x:c r="C17" s="2"/>
      <x:c r="D17" s="2"/>
      <x:c r="E17" s="2"/>
      <x:c r="F17" s="2"/>
      <x:c r="G17" s="2"/>
    </x:row>
    <x:row r="18" ht="39" customHeight="1">
      <x:c r="A18" s="2"/>
      <x:c r="B18" s="10" t="str">
        <x:v>Вариант</x:v>
      </x:c>
      <x:c r="C18" s="10" t="str">
        <x:v>Признаков</x:v>
      </x:c>
      <x:c r="D18" s="10" t="str">
        <x:v>AUC января</x:v>
      </x:c>
      <x:c r="E18" s="10" t="str">
        <x:v>AUC февраля</x:v>
      </x:c>
      <x:c r="F18" s="10" t="str">
        <x:v>Δ AUC января к исходной</x:v>
      </x:c>
      <x:c r="G18" s="10" t="str">
        <x:v>Δ AUC февраля к исходной</x:v>
      </x:c>
    </x:row>
    <x:row r="19" ht="23" customHeight="1">
      <x:c r="A19" s="2"/>
      <x:c r="B19" s="13" t="str">
        <x:v>Сентябрь–декабрь: исходная модель</x:v>
      </x:c>
      <x:c r="C19" s="14" t="n">
        <x:v>40</x:v>
      </x:c>
      <x:c r="D19" s="21" t="n">
        <x:v>0.83331</x:v>
      </x:c>
      <x:c r="E19" s="21" t="n">
        <x:v>0.772266</x:v>
      </x:c>
      <x:c r="F19" s="21" t="n">
        <x:f>D19-$D$19</x:f>
        <x:v>0</x:v>
      </x:c>
      <x:c r="G19" s="21" t="n">
        <x:f>IF(ISNUMBER(E19),E19-$E$19,"н/д")</x:f>
        <x:v>0</x:v>
      </x:c>
    </x:row>
    <x:row r="20" ht="23" customHeight="1">
      <x:c r="A20" s="2"/>
      <x:c r="B20" s="11" t="str">
        <x:v>Одна строка на контракт</x:v>
      </x:c>
      <x:c r="C20" s="12" t="n">
        <x:v>40</x:v>
      </x:c>
      <x:c r="D20" s="22" t="n">
        <x:v>0.822918</x:v>
      </x:c>
      <x:c r="E20" s="22" t="n">
        <x:v>0.764605</x:v>
      </x:c>
      <x:c r="F20" s="21" t="n">
        <x:f>D20-$D$19</x:f>
        <x:v>-0.010391999999999957</x:v>
      </x:c>
      <x:c r="G20" s="21" t="n">
        <x:f>IF(ISNUMBER(E20),E20-$E$19,"н/д")</x:f>
        <x:v>-0.007661000000000029</x:v>
      </x:c>
    </x:row>
    <x:row r="21" ht="23" customHeight="1">
      <x:c r="A21" s="2"/>
      <x:c r="B21" s="13" t="str">
        <x:v>Без 10 почти неизменных признаков</x:v>
      </x:c>
      <x:c r="C21" s="14" t="n">
        <x:v>30</x:v>
      </x:c>
      <x:c r="D21" s="21" t="n">
        <x:v>0.822341</x:v>
      </x:c>
      <x:c r="E21" s="21" t="n">
        <x:v>0.767106</x:v>
      </x:c>
      <x:c r="F21" s="21" t="n">
        <x:f>D21-$D$19</x:f>
        <x:v>-0.010969000000000007</x:v>
      </x:c>
      <x:c r="G21" s="21" t="n">
        <x:f>IF(ISNUMBER(E21),E21-$E$19,"н/д")</x:f>
        <x:v>-0.005160000000000053</x:v>
      </x:c>
    </x:row>
    <x:row r="22" ht="23" customHeight="1">
      <x:c r="A22" s="2"/>
      <x:c r="B22" s="11" t="str">
        <x:v>Без 13 почти неизменных признаков</x:v>
      </x:c>
      <x:c r="C22" s="12" t="n">
        <x:v>27</x:v>
      </x:c>
      <x:c r="D22" s="22" t="n">
        <x:v>0.812362</x:v>
      </x:c>
      <x:c r="E22" s="22" t="n">
        <x:v>0.765216</x:v>
      </x:c>
      <x:c r="F22" s="21" t="n">
        <x:f>D22-$D$19</x:f>
        <x:v>-0.020947999999999967</x:v>
      </x:c>
      <x:c r="G22" s="21" t="n">
        <x:f>IF(ISNUMBER(E22),E22-$E$19,"н/д")</x:f>
        <x:v>-0.007050000000000001</x:v>
      </x:c>
    </x:row>
    <x:row r="23" ht="23" customHeight="1">
      <x:c r="A23" s="2"/>
      <x:c r="B23" s="13" t="str">
        <x:v>Обучение на ноябре–декабре</x:v>
      </x:c>
      <x:c r="C23" s="14" t="n">
        <x:v>40</x:v>
      </x:c>
      <x:c r="D23" s="21" t="n">
        <x:v>0.842525</x:v>
      </x:c>
      <x:c r="E23" s="21" t="n">
        <x:v>0.778367</x:v>
      </x:c>
      <x:c r="F23" s="21" t="n">
        <x:f>D23-$D$19</x:f>
        <x:v>0.009214999999999973</x:v>
      </x:c>
      <x:c r="G23" s="21" t="n">
        <x:f>IF(ISNUMBER(E23),E23-$E$19,"н/д")</x:f>
        <x:v>0.006101000000000023</x:v>
      </x:c>
    </x:row>
    <x:row r="24" ht="23" customHeight="1">
      <x:c r="A24" s="2"/>
      <x:c r="B24" s="11" t="str">
        <x:v>Обучение только на декабре</x:v>
      </x:c>
      <x:c r="C24" s="12" t="n">
        <x:v>40</x:v>
      </x:c>
      <x:c r="D24" s="22" t="n">
        <x:v>0.843461</x:v>
      </x:c>
      <x:c r="E24" s="22" t="n">
        <x:v>0.778903</x:v>
      </x:c>
      <x:c r="F24" s="21" t="n">
        <x:f>D24-$D$19</x:f>
        <x:v>0.010151000000000021</x:v>
      </x:c>
      <x:c r="G24" s="21" t="n">
        <x:f>IF(ISNUMBER(E24),E24-$E$19,"н/д")</x:f>
        <x:v>0.006637000000000004</x:v>
      </x:c>
    </x:row>
    <x:row r="25" ht="23" customHeight="1">
      <x:c r="A25" s="2"/>
      <x:c r="B25" s="4" t="str">
        <x:v>Внешние выборки января и февраля одинаковы для всех вариантов.</x:v>
      </x:c>
      <x:c r="C25" s="2"/>
      <x:c r="D25" s="2"/>
      <x:c r="E25" s="2"/>
      <x:c r="F25" s="2"/>
      <x:c r="G25" s="2"/>
    </x:row>
    <x:row r="26" ht="23" customHeight="1">
      <x:c r="A26" s="2"/>
      <x:c r="B26" s="4" t="str">
        <x:v>Параметры унаследованы; предел — 3000 деревьев, полного нового подбора не было.</x:v>
      </x:c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30" customHeight="1">
      <x:c r="A28" s="2"/>
      <x:c r="B28" s="3" t="str">
        <x:v>Одинаковые контракты января и февраля</x:v>
      </x:c>
      <x:c r="C28" s="2"/>
      <x:c r="D28" s="2"/>
      <x:c r="E28" s="2"/>
      <x:c r="F28" s="2"/>
      <x:c r="G28" s="2"/>
    </x:row>
    <x:row r="29" ht="39" customHeight="1">
      <x:c r="A29" s="2"/>
      <x:c r="B29" s="10" t="str">
        <x:v>Скор / таргет</x:v>
      </x:c>
      <x:c r="C29" s="10" t="str">
        <x:v>Контрактов</x:v>
      </x:c>
      <x:c r="D29" s="10" t="str">
        <x:v>ROC-AUC</x:v>
      </x:c>
      <x:c r="E29" s="10" t="str">
        <x:v>Δ к первому сравнению</x:v>
      </x:c>
      <x:c r="F29" s="2"/>
      <x:c r="G29" s="2"/>
    </x:row>
    <x:row r="30" ht="23" customHeight="1">
      <x:c r="A30" s="2"/>
      <x:c r="B30" s="13" t="str">
        <x:v>Январский скор / январский таргет</x:v>
      </x:c>
      <x:c r="C30" s="17" t="n">
        <x:v>220563</x:v>
      </x:c>
      <x:c r="D30" s="23" t="n">
        <x:v>0.812153</x:v>
      </x:c>
      <x:c r="E30" s="23" t="n">
        <x:f>D30-$D$30</x:f>
        <x:v>0</x:v>
      </x:c>
      <x:c r="F30" s="2"/>
      <x:c r="G30" s="2"/>
    </x:row>
    <x:row r="31" ht="23" customHeight="1">
      <x:c r="A31" s="2"/>
      <x:c r="B31" s="11" t="str">
        <x:v>Январский скор / февральский таргет</x:v>
      </x:c>
      <x:c r="C31" s="18" t="n">
        <x:v>220563</x:v>
      </x:c>
      <x:c r="D31" s="24" t="n">
        <x:v>0.779145</x:v>
      </x:c>
      <x:c r="E31" s="23" t="n">
        <x:f>D31-$D$30</x:f>
        <x:v>-0.03300800000000004</x:v>
      </x:c>
      <x:c r="F31" s="2"/>
      <x:c r="G31" s="2"/>
    </x:row>
    <x:row r="32" ht="23" customHeight="1">
      <x:c r="A32" s="2"/>
      <x:c r="B32" s="13" t="str">
        <x:v>Февральский скор / февральский таргет</x:v>
      </x:c>
      <x:c r="C32" s="17" t="n">
        <x:v>220563</x:v>
      </x:c>
      <x:c r="D32" s="23" t="n">
        <x:v>0.769818</x:v>
      </x:c>
      <x:c r="E32" s="23" t="n">
        <x:f>D32-$D$30</x:f>
        <x:v>-0.04233500000000001</x:v>
      </x:c>
      <x:c r="F32" s="2"/>
      <x:c r="G32" s="2"/>
    </x:row>
    <x:row r="33" ht="23" customHeight="1">
      <x:c r="A33" s="2"/>
      <x:c r="B33" s="4" t="str">
        <x:v>Это описательное сравнение на общих контрактах; будущие окна тоже сдвигаются.</x:v>
      </x:c>
      <x:c r="C33" s="2"/>
      <x:c r="D33" s="2"/>
      <x:c r="E33" s="2"/>
      <x:c r="F33" s="2"/>
      <x:c r="G33" s="2"/>
    </x:row>
    <x:row r="34" ht="23" customHeight="1">
      <x:c r="A34" s="2"/>
      <x:c r="B34" s="2"/>
      <x:c r="C34" s="2"/>
      <x:c r="D34" s="2"/>
      <x:c r="E34" s="2"/>
      <x:c r="F34" s="2"/>
      <x:c r="G34" s="2"/>
    </x:row>
    <x:row r="35" ht="30" customHeight="1">
      <x:c r="A35" s="2"/>
      <x:c r="B35" s="3" t="str">
        <x:v>ROC-AUC по переходам таргета</x:v>
      </x:c>
      <x:c r="C35" s="2"/>
      <x:c r="D35" s="2"/>
      <x:c r="E35" s="2"/>
      <x:c r="F35" s="2"/>
      <x:c r="G35" s="2"/>
    </x:row>
    <x:row r="36" ht="39" customHeight="1">
      <x:c r="A36" s="2"/>
      <x:c r="B36" s="10" t="str">
        <x:v>Единицы против нулей</x:v>
      </x:c>
      <x:c r="C36" s="10" t="str">
        <x:v>Октябрь</x:v>
      </x:c>
      <x:c r="D36" s="10" t="str">
        <x:v>Ноябрь</x:v>
      </x:c>
      <x:c r="E36" s="10" t="str">
        <x:v>Декабрь</x:v>
      </x:c>
      <x:c r="F36" s="10" t="str">
        <x:v>Январь</x:v>
      </x:c>
      <x:c r="G36" s="10" t="str">
        <x:v>Февраль</x:v>
      </x:c>
    </x:row>
    <x:row r="37" ht="23" customHeight="1">
      <x:c r="A37" s="2"/>
      <x:c r="B37" s="13" t="str">
        <x:v>Новые единицы (01) / старые нули (00)</x:v>
      </x:c>
      <x:c r="C37" s="21" t="n">
        <x:v>0.7048</x:v>
      </x:c>
      <x:c r="D37" s="21" t="n">
        <x:v>0.6913</x:v>
      </x:c>
      <x:c r="E37" s="21" t="n">
        <x:v>0.6282</x:v>
      </x:c>
      <x:c r="F37" s="21" t="n">
        <x:v>0.5983</x:v>
      </x:c>
      <x:c r="G37" s="21" t="n">
        <x:v>0.5619</x:v>
      </x:c>
    </x:row>
    <x:row r="38" ht="23" customHeight="1">
      <x:c r="A38" s="2"/>
      <x:c r="B38" s="11" t="str">
        <x:v>Новые единицы (01) / новые нули (10)</x:v>
      </x:c>
      <x:c r="C38" s="22" t="n">
        <x:v>0.274</x:v>
      </x:c>
      <x:c r="D38" s="22" t="n">
        <x:v>0.3342</x:v>
      </x:c>
      <x:c r="E38" s="22" t="n">
        <x:v>0.3381</x:v>
      </x:c>
      <x:c r="F38" s="22" t="n">
        <x:v>0.3308</x:v>
      </x:c>
      <x:c r="G38" s="22" t="n">
        <x:v>0.3415</x:v>
      </x:c>
    </x:row>
    <x:row r="39" ht="23" customHeight="1">
      <x:c r="A39" s="2"/>
      <x:c r="B39" s="13" t="str">
        <x:v>Устойчивые единицы (11) / старые нули (00)</x:v>
      </x:c>
      <x:c r="C39" s="21" t="n">
        <x:v>0.9668</x:v>
      </x:c>
      <x:c r="D39" s="21" t="n">
        <x:v>0.9385</x:v>
      </x:c>
      <x:c r="E39" s="21" t="n">
        <x:v>0.9022</x:v>
      </x:c>
      <x:c r="F39" s="21" t="n">
        <x:v>0.8684</x:v>
      </x:c>
      <x:c r="G39" s="21" t="n">
        <x:v>0.8063</x:v>
      </x:c>
    </x:row>
    <x:row r="40" ht="23" customHeight="1">
      <x:c r="A40" s="2"/>
      <x:c r="B40" s="11" t="str">
        <x:v>Устойчивые единицы (11) / новые нули (10)</x:v>
      </x:c>
      <x:c r="C40" s="22" t="n">
        <x:v>0.7918</x:v>
      </x:c>
      <x:c r="D40" s="22" t="n">
        <x:v>0.7648</x:v>
      </x:c>
      <x:c r="E40" s="22" t="n">
        <x:v>0.7428</x:v>
      </x:c>
      <x:c r="F40" s="22" t="n">
        <x:v>0.6988</x:v>
      </x:c>
      <x:c r="G40" s="22" t="n">
        <x:v>0.6225</x:v>
      </x:c>
    </x:row>
    <x:row r="41" ht="23" customHeight="1">
      <x:c r="A41" s="2"/>
      <x:c r="B41" s="4" t="str">
        <x:v>Для каждого месяца своё пересечение с предыдущим. AUC по отложенным строкам последующего месяца.</x:v>
      </x:c>
      <x:c r="C41" s="2"/>
      <x:c r="D41" s="2"/>
      <x:c r="E41" s="2"/>
      <x:c r="F41" s="2"/>
      <x:c r="G41" s="2"/>
    </x:row>
    <x:row r="42" ht="23" customHeight="1">
      <x:c r="A42" s="2"/>
      <x:c r="B42" s="2"/>
      <x:c r="C42" s="2"/>
      <x:c r="D42" s="2"/>
      <x:c r="E42" s="2"/>
      <x:c r="F42" s="2"/>
      <x:c r="G42" s="2"/>
    </x:row>
    <x:row r="43" ht="23" customHeight="1">
      <x:c r="A43" s="2"/>
      <x:c r="B43" s="2"/>
      <x:c r="C43" s="2"/>
      <x:c r="D43" s="2"/>
      <x:c r="E43" s="2"/>
      <x:c r="F43" s="2"/>
      <x:c r="G43" s="2"/>
    </x:row>
    <x:row r="44" ht="30" customHeight="1">
      <x:c r="A44" s="2"/>
      <x:c r="B44" s="3" t="str">
        <x:v>Возраст карты: январь и февраль</x:v>
      </x:c>
      <x:c r="C44" s="2"/>
      <x:c r="D44" s="2"/>
      <x:c r="E44" s="2"/>
      <x:c r="F44" s="2"/>
      <x:c r="G44" s="2"/>
    </x:row>
    <x:row r="45" ht="39" customHeight="1">
      <x:c r="A45" s="2"/>
      <x:c r="B45" s="10" t="str">
        <x:v>Возраст, дней</x:v>
      </x:c>
      <x:c r="C45" s="10" t="str">
        <x:v>AUC января</x:v>
      </x:c>
      <x:c r="D45" s="10" t="str">
        <x:v>AUC февраля</x:v>
      </x:c>
      <x:c r="E45" s="10" t="str">
        <x:v>Δ AUC</x:v>
      </x:c>
      <x:c r="F45" s="10" t="str">
        <x:v>Частота 1→0</x:v>
      </x:c>
      <x:c r="G45" s="10" t="str">
        <x:v>Исходных единиц</x:v>
      </x:c>
    </x:row>
    <x:row r="46" ht="23" customHeight="1">
      <x:c r="A46" s="2"/>
      <x:c r="B46" s="13" t="str">
        <x:v>0–89</x:v>
      </x:c>
      <x:c r="C46" s="21" t="n">
        <x:v>0.7752</x:v>
      </x:c>
      <x:c r="D46" s="21" t="n">
        <x:v>0.7049</x:v>
      </x:c>
      <x:c r="E46" s="21" t="n">
        <x:f>D46-C46</x:f>
        <x:v>-0.07030000000000003</x:v>
      </x:c>
      <x:c r="F46" s="19" t="n">
        <x:v>0.07396047846470666</x:v>
      </x:c>
      <x:c r="G46" s="17" t="n">
        <x:v>22823</x:v>
      </x:c>
    </x:row>
    <x:row r="47" ht="23" customHeight="1">
      <x:c r="A47" s="2"/>
      <x:c r="B47" s="11" t="str">
        <x:v>90–179</x:v>
      </x:c>
      <x:c r="C47" s="22" t="n">
        <x:v>0.7996</x:v>
      </x:c>
      <x:c r="D47" s="22" t="n">
        <x:v>0.7254</x:v>
      </x:c>
      <x:c r="E47" s="21" t="n">
        <x:f>D47-C47</x:f>
        <x:v>-0.07419999999999993</x:v>
      </x:c>
      <x:c r="F47" s="20" t="n">
        <x:v>0.06712403139035586</x:v>
      </x:c>
      <x:c r="G47" s="18" t="n">
        <x:v>20261</x:v>
      </x:c>
    </x:row>
    <x:row r="48" ht="23" customHeight="1">
      <x:c r="A48" s="2"/>
      <x:c r="B48" s="13" t="str">
        <x:v>180–364</x:v>
      </x:c>
      <x:c r="C48" s="21" t="n">
        <x:v>0.8182</x:v>
      </x:c>
      <x:c r="D48" s="21" t="n">
        <x:v>0.7528</x:v>
      </x:c>
      <x:c r="E48" s="21" t="n">
        <x:f>D48-C48</x:f>
        <x:v>-0.06540000000000001</x:v>
      </x:c>
      <x:c r="F48" s="19" t="n">
        <x:v>0.05245226934949125</x:v>
      </x:c>
      <x:c r="G48" s="17" t="n">
        <x:v>43735</x:v>
      </x:c>
    </x:row>
    <x:row r="49" ht="23" customHeight="1">
      <x:c r="A49" s="2"/>
      <x:c r="B49" s="11" t="str">
        <x:v>365–729</x:v>
      </x:c>
      <x:c r="C49" s="22" t="n">
        <x:v>0.8461</x:v>
      </x:c>
      <x:c r="D49" s="22" t="n">
        <x:v>0.7699</x:v>
      </x:c>
      <x:c r="E49" s="21" t="n">
        <x:f>D49-C49</x:f>
        <x:v>-0.07619999999999993</x:v>
      </x:c>
      <x:c r="F49" s="20" t="n">
        <x:v>0.04788021241403326</x:v>
      </x:c>
      <x:c r="G49" s="18" t="n">
        <x:v>45948</x:v>
      </x:c>
    </x:row>
    <x:row r="50" ht="23" customHeight="1">
      <x:c r="A50" s="2"/>
      <x:c r="B50" s="13" t="str">
        <x:v>730+</x:v>
      </x:c>
      <x:c r="C50" s="21" t="n">
        <x:v>0.8824</x:v>
      </x:c>
      <x:c r="D50" s="21" t="n">
        <x:v>0.8374</x:v>
      </x:c>
      <x:c r="E50" s="21" t="n">
        <x:f>D50-C50</x:f>
        <x:v>-0.04499999999999993</x:v>
      </x:c>
      <x:c r="F50" s="19" t="n">
        <x:v>0.035144918850238537</x:v>
      </x:c>
      <x:c r="G50" s="17" t="n">
        <x:v>41713</x:v>
      </x:c>
    </x:row>
    <x:row r="51" ht="23" customHeight="1">
      <x:c r="A51" s="2"/>
      <x:c r="B51" s="4" t="str">
        <x:v>AUC — возраст текущего месяца; переходы — общие контракты, возраст на январскую дату.</x:v>
      </x:c>
      <x:c r="C51" s="2"/>
      <x:c r="D51" s="2"/>
      <x:c r="E51" s="2"/>
      <x:c r="F51" s="2"/>
      <x:c r="G51" s="2"/>
    </x:row>
    <x:row r="52" ht="23" customHeight="1">
      <x:c r="A52" s="2"/>
      <x:c r="B52" s="2"/>
      <x:c r="C52" s="2"/>
      <x:c r="D52" s="2"/>
      <x:c r="E52" s="2"/>
      <x:c r="F52" s="2"/>
      <x:c r="G52" s="2"/>
    </x:row>
    <x:row r="53" ht="23" customHeight="1">
      <x:c r="A53" s="2"/>
      <x:c r="B53" s="2"/>
      <x:c r="C53" s="2"/>
      <x:c r="D53" s="2"/>
      <x:c r="E53" s="2"/>
      <x:c r="F53" s="2"/>
      <x:c r="G53" s="2"/>
    </x:row>
    <x:row r="54" ht="30" customHeight="1">
      <x:c r="A54" s="2"/>
      <x:c r="B54" s="3" t="str">
        <x:v>Время после последнего клипа: январь и февраль</x:v>
      </x:c>
      <x:c r="C54" s="2"/>
      <x:c r="D54" s="2"/>
      <x:c r="E54" s="2"/>
      <x:c r="F54" s="2"/>
      <x:c r="G54" s="2"/>
    </x:row>
    <x:row r="55" ht="39" customHeight="1">
      <x:c r="A55" s="2"/>
      <x:c r="B55" s="10" t="str">
        <x:v>Давность клипа, дней</x:v>
      </x:c>
      <x:c r="C55" s="10" t="str">
        <x:v>AUC января</x:v>
      </x:c>
      <x:c r="D55" s="10" t="str">
        <x:v>AUC февраля</x:v>
      </x:c>
      <x:c r="E55" s="10" t="str">
        <x:v>Δ AUC</x:v>
      </x:c>
      <x:c r="F55" s="10" t="str">
        <x:v>Частота 1→0</x:v>
      </x:c>
      <x:c r="G55" s="10" t="str">
        <x:v>Исходных единиц</x:v>
      </x:c>
    </x:row>
    <x:row r="56" ht="23" customHeight="1">
      <x:c r="A56" s="2"/>
      <x:c r="B56" s="13" t="str">
        <x:v>0–29</x:v>
      </x:c>
      <x:c r="C56" s="21" t="n">
        <x:v>0.7854</x:v>
      </x:c>
      <x:c r="D56" s="21" t="n">
        <x:v>0.7464</x:v>
      </x:c>
      <x:c r="E56" s="21" t="n">
        <x:f>D56-C56</x:f>
        <x:v>-0.039000000000000035</x:v>
      </x:c>
      <x:c r="F56" s="19" t="n">
        <x:v>0.043073012286400224</x:v>
      </x:c>
      <x:c r="G56" s="17" t="n">
        <x:v>7081</x:v>
      </x:c>
    </x:row>
    <x:row r="57" ht="23" customHeight="1">
      <x:c r="A57" s="2"/>
      <x:c r="B57" s="11" t="str">
        <x:v>30–89</x:v>
      </x:c>
      <x:c r="C57" s="22" t="n">
        <x:v>0.8338</x:v>
      </x:c>
      <x:c r="D57" s="22" t="n">
        <x:v>0.76</x:v>
      </x:c>
      <x:c r="E57" s="21" t="n">
        <x:f>D57-C57</x:f>
        <x:v>-0.07379999999999998</x:v>
      </x:c>
      <x:c r="F57" s="20" t="n">
        <x:v>0.056749920961112865</x:v>
      </x:c>
      <x:c r="G57" s="18" t="n">
        <x:v>18978</x:v>
      </x:c>
    </x:row>
    <x:row r="58" ht="23" customHeight="1">
      <x:c r="A58" s="2"/>
      <x:c r="B58" s="13" t="str">
        <x:v>90–179</x:v>
      </x:c>
      <x:c r="C58" s="21" t="n">
        <x:v>0.8292</x:v>
      </x:c>
      <x:c r="D58" s="21" t="n">
        <x:v>0.775</x:v>
      </x:c>
      <x:c r="E58" s="21" t="n">
        <x:f>D58-C58</x:f>
        <x:v>-0.054200000000000026</x:v>
      </x:c>
      <x:c r="F58" s="19" t="n">
        <x:v>0.05488841055851365</x:v>
      </x:c>
      <x:c r="G58" s="17" t="n">
        <x:v>17654</x:v>
      </x:c>
    </x:row>
    <x:row r="59" ht="23" customHeight="1">
      <x:c r="A59" s="2"/>
      <x:c r="B59" s="11" t="str">
        <x:v>180–364</x:v>
      </x:c>
      <x:c r="C59" s="22" t="n">
        <x:v>0.8438</x:v>
      </x:c>
      <x:c r="D59" s="22" t="n">
        <x:v>0.7682</x:v>
      </x:c>
      <x:c r="E59" s="21" t="n">
        <x:f>D59-C59</x:f>
        <x:v>-0.0756</x:v>
      </x:c>
      <x:c r="F59" s="20" t="n">
        <x:v>0.05022045381223787</x:v>
      </x:c>
      <x:c r="G59" s="18" t="n">
        <x:v>27897</x:v>
      </x:c>
    </x:row>
    <x:row r="60" ht="23" customHeight="1">
      <x:c r="A60" s="2"/>
      <x:c r="B60" s="13" t="str">
        <x:v>365+</x:v>
      </x:c>
      <x:c r="C60" s="21" t="n">
        <x:v>0.8597</x:v>
      </x:c>
      <x:c r="D60" s="21" t="n">
        <x:v>0.7929</x:v>
      </x:c>
      <x:c r="E60" s="21" t="n">
        <x:f>D60-C60</x:f>
        <x:v>-0.06679999999999997</x:v>
      </x:c>
      <x:c r="F60" s="19" t="n">
        <x:v>0.03876547819052952</x:v>
      </x:c>
      <x:c r="G60" s="17" t="n">
        <x:v>32142</x:v>
      </x:c>
    </x:row>
    <x:row r="61" ht="23" customHeight="1">
      <x:c r="A61" s="2"/>
      <x:c r="B61" s="11" t="str">
        <x:v>Дата клипа отсутствует</x:v>
      </x:c>
      <x:c r="C61" s="22" t="n">
        <x:v>0.8103</x:v>
      </x:c>
      <x:c r="D61" s="22" t="n">
        <x:v>0.7474</x:v>
      </x:c>
      <x:c r="E61" s="21" t="n">
        <x:f>D61-C61</x:f>
        <x:v>-0.06290000000000007</x:v>
      </x:c>
      <x:c r="F61" s="20" t="n">
        <x:v>0.05477682205939613</x:v>
      </x:c>
      <x:c r="G61" s="18" t="n">
        <x:v>56502</x:v>
      </x:c>
    </x:row>
    <x:row r="62" ht="23" customHeight="1">
      <x:c r="A62" s="2"/>
      <x:c r="B62" s="13" t="str">
        <x:v>Дата клипа раньше открытия</x:v>
      </x:c>
      <x:c r="C62" s="21" t="n">
        <x:v>0.834</x:v>
      </x:c>
      <x:c r="D62" s="21" t="n">
        <x:v>0.7724</x:v>
      </x:c>
      <x:c r="E62" s="21" t="n">
        <x:f>D62-C62</x:f>
        <x:v>-0.06159999999999999</x:v>
      </x:c>
      <x:c r="F62" s="19" t="n">
        <x:v>0.06431885280472374</x:v>
      </x:c>
      <x:c r="G62" s="17" t="n">
        <x:v>14226</x:v>
      </x:c>
    </x:row>
    <x:row r="63" ht="23" customHeight="1">
      <x:c r="A63" s="2"/>
      <x:c r="B63" s="4" t="str">
        <x:v>AUC — давность на дату текущего месяца; переходы — общие контракты, давность на январскую дату.</x:v>
      </x:c>
      <x:c r="C63" s="2"/>
      <x:c r="D63" s="2"/>
      <x:c r="E63" s="2"/>
      <x:c r="F63" s="2"/>
      <x:c r="G63" s="2"/>
    </x:row>
    <x:row r="64" ht="23" customHeight="1">
      <x:c r="A64" s="2"/>
      <x:c r="B64" s="4" t="str">
        <x:v>Частота 1→0 — среди исходных единиц января. Отсутствующая дата не означает отсутствие клипов.</x:v>
      </x:c>
      <x:c r="C64" s="2"/>
      <x:c r="D64" s="2"/>
      <x:c r="E64" s="2"/>
      <x:c r="F64" s="2"/>
      <x:c r="G64" s="2"/>
    </x:row>
    <x:row r="65" ht="23" customHeight="1">
      <x:c r="A65" s="2"/>
      <x:c r="B65" s="2"/>
      <x:c r="C65" s="2"/>
      <x:c r="D65" s="2"/>
      <x:c r="E65" s="2"/>
      <x:c r="F65" s="2"/>
      <x:c r="G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829F"/>
  </x:sheetPr>
  <x:sheetViews>
    <x:sheetView showGridLines="0" workbookViewId="0"/>
  </x:sheetViews>
  <x:sheetFormatPr defaultRowHeight="15"/>
  <x:cols>
    <x:col min="1" max="1" width="3" hidden="0" customWidth="1"/>
    <x:col min="2" max="2" width="9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1"/>
      <x:c r="I1" s="1"/>
    </x:row>
    <x:row r="2" ht="30" customHeight="1">
      <x:c r="A2" s="2"/>
      <x:c r="B2" s="3" t="str">
        <x:v>PSI всех 40 признаков</x:v>
      </x:c>
      <x:c r="C2" s="2"/>
      <x:c r="D2" s="2"/>
      <x:c r="E2" s="2"/>
      <x:c r="F2" s="2"/>
      <x:c r="G2" s="2"/>
      <x:c r="H2" s="1"/>
      <x:c r="I2" s="1"/>
    </x:row>
    <x:row r="3" ht="23" customHeight="1">
      <x:c r="A3" s="2"/>
      <x:c r="B3" s="4" t="str">
        <x:v>Таблица PSI, предоставленная пользователем в двух снимках экрана 2026-10-09. Значения перенесены без пересчёта.</x:v>
      </x:c>
      <x:c r="C3" s="2"/>
      <x:c r="D3" s="2"/>
      <x:c r="E3" s="2"/>
      <x:c r="F3" s="2"/>
      <x:c r="G3" s="2"/>
      <x:c r="H3" s="1"/>
      <x:c r="I3" s="1"/>
    </x:row>
    <x:row r="4" ht="23" customHeight="1">
      <x:c r="A4" s="2"/>
      <x:c r="B4" s="4" t="str">
        <x:v>Фиксированная база: сентябрь 2025. Каждый месяц сравнивается с сентябрём, а не с предыдущим месяцем.</x:v>
      </x:c>
      <x:c r="C4" s="2"/>
      <x:c r="D4" s="2"/>
      <x:c r="E4" s="2"/>
      <x:c r="F4" s="2"/>
      <x:c r="G4" s="2"/>
      <x:c r="H4" s="1"/>
      <x:c r="I4" s="1"/>
    </x:row>
    <x:row r="5" ht="23" customHeight="1">
      <x:c r="A5" s="2"/>
      <x:c r="B5" s="2"/>
      <x:c r="C5" s="2"/>
      <x:c r="D5" s="2"/>
      <x:c r="E5" s="2"/>
      <x:c r="F5" s="2"/>
      <x:c r="G5" s="2"/>
      <x:c r="H5" s="1"/>
      <x:c r="I5" s="1"/>
    </x:row>
    <x:row r="6" ht="23" customHeight="1">
      <x:c r="A6" s="2"/>
      <x:c r="B6" s="2" t="str">
        <x:v>Максимальный PSI февраля</x:v>
      </x:c>
      <x:c r="C6" s="25" t="n">
        <x:f>MAX(H11:H50)</x:f>
        <x:v>0.0602532</x:v>
      </x:c>
      <x:c r="D6" s="2"/>
      <x:c r="E6" s="2"/>
      <x:c r="F6" s="2"/>
      <x:c r="G6" s="2"/>
      <x:c r="H6" s="1"/>
      <x:c r="I6" s="1"/>
    </x:row>
    <x:row r="7" ht="23" customHeight="1">
      <x:c r="A7" s="2"/>
      <x:c r="B7" s="2" t="str">
        <x:v>Число признаков с PSI февраля ≥ 0,10</x:v>
      </x:c>
      <x:c r="C7" s="26" t="n">
        <x:f>COUNTIFS(H11:H50,"&gt;=0.1")</x:f>
        <x:v>0</x:v>
      </x:c>
      <x:c r="D7" s="2"/>
      <x:c r="E7" s="2"/>
      <x:c r="F7" s="2"/>
      <x:c r="G7" s="2"/>
      <x:c r="H7" s="1"/>
      <x:c r="I7" s="1"/>
    </x:row>
    <x:row r="8" ht="23" customHeight="1">
      <x:c r="A8" s="2"/>
      <x:c r="B8" s="2" t="str">
        <x:v>Максимальный PSI за сентябрь–февраль</x:v>
      </x:c>
      <x:c r="C8" s="25" t="n">
        <x:f>MAX(C11:H50)</x:f>
        <x:v>0.1074575</x:v>
      </x:c>
      <x:c r="D8" s="2"/>
      <x:c r="E8" s="2"/>
      <x:c r="F8" s="2"/>
      <x:c r="G8" s="2"/>
      <x:c r="H8" s="1"/>
      <x:c r="I8" s="1"/>
    </x:row>
    <x:row r="9" ht="23" customHeight="1">
      <x:c r="A9" s="2"/>
      <x:c r="B9" s="2"/>
      <x:c r="C9" s="2"/>
      <x:c r="D9" s="2"/>
      <x:c r="E9" s="2"/>
      <x:c r="F9" s="2"/>
      <x:c r="G9" s="2"/>
      <x:c r="H9" s="1"/>
      <x:c r="I9" s="1"/>
    </x:row>
    <x:row r="10" ht="39" customHeight="1">
      <x:c r="A10" s="2"/>
      <x:c r="B10" s="10" t="str">
        <x:v>Признак</x:v>
      </x:c>
      <x:c r="C10" s="10" t="str">
        <x:v>2025-09</x:v>
      </x:c>
      <x:c r="D10" s="10" t="str">
        <x:v>2025-10</x:v>
      </x:c>
      <x:c r="E10" s="10" t="str">
        <x:v>2025-11</x:v>
      </x:c>
      <x:c r="F10" s="10" t="str">
        <x:v>2025-12</x:v>
      </x:c>
      <x:c r="G10" s="10" t="str">
        <x:v>2026-01</x:v>
      </x:c>
      <x:c r="H10" s="10" t="str">
        <x:v>2026-02</x:v>
      </x:c>
      <x:c r="I10" s="10" t="str">
        <x:v>Максимум</x:v>
      </x:c>
    </x:row>
    <x:row r="11" ht="35" customHeight="1">
      <x:c r="A11" s="2"/>
      <x:c r="B11" s="34" t="str">
        <x:v>contract_cred_contract_uid_by_status_nm_wrk_by_product_category_nm_ptb_cc_aggcnt</x:v>
      </x:c>
      <x:c r="C11" s="40" t="n">
        <x:v>0</x:v>
      </x:c>
      <x:c r="D11" s="40" t="n">
        <x:v>0.0183305</x:v>
      </x:c>
      <x:c r="E11" s="40" t="n">
        <x:v>0.1020941</x:v>
      </x:c>
      <x:c r="F11" s="40" t="n">
        <x:v>0.0996684</x:v>
      </x:c>
      <x:c r="G11" s="40" t="n">
        <x:v>0.0109181</x:v>
      </x:c>
      <x:c r="H11" s="40" t="n">
        <x:v>0.0046371</x:v>
      </x:c>
      <x:c r="I11" s="40" t="n">
        <x:f>MAX(C11:H11)</x:f>
        <x:v>0.1020941</x:v>
      </x:c>
    </x:row>
    <x:row r="12" ht="35" customHeight="1">
      <x:c r="A12" s="2"/>
      <x:c r="B12" s="37" t="str">
        <x:v>contract_cred_current_debt_amt_by_status_nm_wrk_by_product_category_nm_ptb_cc_aggsum</x:v>
      </x:c>
      <x:c r="C12" s="41" t="n">
        <x:v>0</x:v>
      </x:c>
      <x:c r="D12" s="41" t="n">
        <x:v>0.002618</x:v>
      </x:c>
      <x:c r="E12" s="41" t="n">
        <x:v>0.0030533</x:v>
      </x:c>
      <x:c r="F12" s="41" t="n">
        <x:v>0.0012703</x:v>
      </x:c>
      <x:c r="G12" s="41" t="n">
        <x:v>0.0016016</x:v>
      </x:c>
      <x:c r="H12" s="41" t="n">
        <x:v>0.0070618</x:v>
      </x:c>
      <x:c r="I12" s="40" t="n">
        <x:f>MAX(C12:H12)</x:f>
        <x:v>0.0070618</x:v>
      </x:c>
    </x:row>
    <x:row r="13" ht="35" customHeight="1">
      <x:c r="A13" s="2"/>
      <x:c r="B13" s="34" t="str">
        <x:v>contract_cred_current_debt_amt_by_status_nm_wrk_by_product_category_nm_ptb_cc_aggmin</x:v>
      </x:c>
      <x:c r="C13" s="40" t="n">
        <x:v>0</x:v>
      </x:c>
      <x:c r="D13" s="40" t="n">
        <x:v>0.0014644</x:v>
      </x:c>
      <x:c r="E13" s="40" t="n">
        <x:v>0.006345</x:v>
      </x:c>
      <x:c r="F13" s="40" t="n">
        <x:v>0.011323</x:v>
      </x:c>
      <x:c r="G13" s="40" t="n">
        <x:v>0.0160051</x:v>
      </x:c>
      <x:c r="H13" s="40" t="n">
        <x:v>0.0181216</x:v>
      </x:c>
      <x:c r="I13" s="40" t="n">
        <x:f>MAX(C13:H13)</x:f>
        <x:v>0.0181216</x:v>
      </x:c>
    </x:row>
    <x:row r="14" ht="35" customHeight="1">
      <x:c r="A14" s="2"/>
      <x:c r="B14" s="37" t="str">
        <x:v>crds_cci_agreewithpresale_aggsum_d90</x:v>
      </x:c>
      <x:c r="C14" s="41" t="n">
        <x:v>0</x:v>
      </x:c>
      <x:c r="D14" s="41" t="n">
        <x:v>0.0022438</x:v>
      </x:c>
      <x:c r="E14" s="41" t="n">
        <x:v>0.0046213</x:v>
      </x:c>
      <x:c r="F14" s="41" t="n">
        <x:v>0.0096781</x:v>
      </x:c>
      <x:c r="G14" s="41" t="n">
        <x:v>0.0138725</x:v>
      </x:c>
      <x:c r="H14" s="41" t="n">
        <x:v>0.0284698</x:v>
      </x:c>
      <x:c r="I14" s="40" t="n">
        <x:f>MAX(C14:H14)</x:f>
        <x:v>0.0284698</x:v>
      </x:c>
    </x:row>
    <x:row r="15" ht="35" customHeight="1">
      <x:c r="A15" s="2"/>
      <x:c r="B15" s="34" t="str">
        <x:v>contract_cred_current_debt_amt_by_status_nm_wrk_by_product_category_nm_ptb_cc_aggmax</x:v>
      </x:c>
      <x:c r="C15" s="40" t="n">
        <x:v>0</x:v>
      </x:c>
      <x:c r="D15" s="40" t="n">
        <x:v>0.0000605</x:v>
      </x:c>
      <x:c r="E15" s="40" t="n">
        <x:v>0.0005471</x:v>
      </x:c>
      <x:c r="F15" s="40" t="n">
        <x:v>0.0016519</x:v>
      </x:c>
      <x:c r="G15" s="40" t="n">
        <x:v>0.0050804</x:v>
      </x:c>
      <x:c r="H15" s="40" t="n">
        <x:v>0.0073156</x:v>
      </x:c>
      <x:c r="I15" s="40" t="n">
        <x:f>MAX(C15:H15)</x:f>
        <x:v>0.0073156</x:v>
      </x:c>
    </x:row>
    <x:row r="16" ht="35" customHeight="1">
      <x:c r="A16" s="2"/>
      <x:c r="B16" s="37" t="str">
        <x:v>util_current</x:v>
      </x:c>
      <x:c r="C16" s="41" t="n">
        <x:v>0</x:v>
      </x:c>
      <x:c r="D16" s="41" t="n">
        <x:v>0.0003012</x:v>
      </x:c>
      <x:c r="E16" s="41" t="n">
        <x:v>0.0003978</x:v>
      </x:c>
      <x:c r="F16" s="41" t="n">
        <x:v>0.0016454</x:v>
      </x:c>
      <x:c r="G16" s="41" t="n">
        <x:v>0.004178</x:v>
      </x:c>
      <x:c r="H16" s="41" t="n">
        <x:v>0.005692</x:v>
      </x:c>
      <x:c r="I16" s="40" t="n">
        <x:f>MAX(C16:H16)</x:f>
        <x:v>0.005692</x:v>
      </x:c>
    </x:row>
    <x:row r="17" ht="35" customHeight="1">
      <x:c r="A17" s="2"/>
      <x:c r="B17" s="34" t="str">
        <x:v>contract_cred_current_debt_amt_by_status_nm_wrk_by_product_category_nm_ptb_cc_aggavg</x:v>
      </x:c>
      <x:c r="C17" s="40" t="n">
        <x:v>0</x:v>
      </x:c>
      <x:c r="D17" s="40" t="n">
        <x:v>0.0001305</x:v>
      </x:c>
      <x:c r="E17" s="40" t="n">
        <x:v>0.0010303</x:v>
      </x:c>
      <x:c r="F17" s="40" t="n">
        <x:v>0.0024342</x:v>
      </x:c>
      <x:c r="G17" s="40" t="n">
        <x:v>0.0051076</x:v>
      </x:c>
      <x:c r="H17" s="40" t="n">
        <x:v>0.0066449</x:v>
      </x:c>
      <x:c r="I17" s="40" t="n">
        <x:f>MAX(C17:H17)</x:f>
        <x:v>0.0066449</x:v>
      </x:c>
    </x:row>
    <x:row r="18" ht="35" customHeight="1">
      <x:c r="A18" s="2"/>
      <x:c r="B18" s="37" t="str">
        <x:v>contract_delinquency_interval_overdue_principal_sum_aggsum</x:v>
      </x:c>
      <x:c r="C18" s="41" t="n">
        <x:v>0</x:v>
      </x:c>
      <x:c r="D18" s="41" t="n">
        <x:v>0.0001043</x:v>
      </x:c>
      <x:c r="E18" s="41" t="n">
        <x:v>0.00009046</x:v>
      </x:c>
      <x:c r="F18" s="41" t="n">
        <x:v>0.0001441</x:v>
      </x:c>
      <x:c r="G18" s="41" t="n">
        <x:v>0.0001891</x:v>
      </x:c>
      <x:c r="H18" s="41" t="n">
        <x:v>0.0004369</x:v>
      </x:c>
      <x:c r="I18" s="40" t="n">
        <x:f>MAX(C18:H18)</x:f>
        <x:v>0.0004369</x:v>
      </x:c>
    </x:row>
    <x:row r="19" ht="35" customHeight="1">
      <x:c r="A19" s="2"/>
      <x:c r="B19" s="34" t="str">
        <x:v>contract_delinquency_interval_overdue_principal_sum_aggcnt</x:v>
      </x:c>
      <x:c r="C19" s="40" t="n">
        <x:v>0</x:v>
      </x:c>
      <x:c r="D19" s="40" t="n">
        <x:v>0.00007384</x:v>
      </x:c>
      <x:c r="E19" s="40" t="n">
        <x:v>0.00003847</x:v>
      </x:c>
      <x:c r="F19" s="40" t="n">
        <x:v>0.00003696</x:v>
      </x:c>
      <x:c r="G19" s="40" t="n">
        <x:v>0.00004654</x:v>
      </x:c>
      <x:c r="H19" s="40" t="n">
        <x:v>0.0002506</x:v>
      </x:c>
      <x:c r="I19" s="40" t="n">
        <x:f>MAX(C19:H19)</x:f>
        <x:v>0.0002506</x:v>
      </x:c>
    </x:row>
    <x:row r="20" ht="35" customHeight="1">
      <x:c r="A20" s="2"/>
      <x:c r="B20" s="37" t="str">
        <x:v>current_limit</x:v>
      </x:c>
      <x:c r="C20" s="41" t="n">
        <x:v>0</x:v>
      </x:c>
      <x:c r="D20" s="41" t="n">
        <x:v>0.0005794</x:v>
      </x:c>
      <x:c r="E20" s="41" t="n">
        <x:v>0.0030064</x:v>
      </x:c>
      <x:c r="F20" s="41" t="n">
        <x:v>0.0070805</x:v>
      </x:c>
      <x:c r="G20" s="41" t="n">
        <x:v>0.0131488</x:v>
      </x:c>
      <x:c r="H20" s="41" t="n">
        <x:v>0.0151861</x:v>
      </x:c>
      <x:c r="I20" s="40" t="n">
        <x:f>MAX(C20:H20)</x:f>
        <x:v>0.0151861</x:v>
      </x:c>
    </x:row>
    <x:row r="21" ht="35" customHeight="1">
      <x:c r="A21" s="2"/>
      <x:c r="B21" s="34" t="str">
        <x:v>contract_agg_monthly_cred_cntr_grace_flag_months_since_last_pos</x:v>
      </x:c>
      <x:c r="C21" s="40" t="n">
        <x:v>0</x:v>
      </x:c>
      <x:c r="D21" s="40" t="n">
        <x:v>0.0004122</x:v>
      </x:c>
      <x:c r="E21" s="40" t="n">
        <x:v>0.001026</x:v>
      </x:c>
      <x:c r="F21" s="40" t="n">
        <x:v>0.0035518</x:v>
      </x:c>
      <x:c r="G21" s="40" t="n">
        <x:v>0.0103401</x:v>
      </x:c>
      <x:c r="H21" s="40" t="n">
        <x:v>0.0067263</x:v>
      </x:c>
      <x:c r="I21" s="40" t="n">
        <x:f>MAX(C21:H21)</x:f>
        <x:v>0.0103401</x:v>
      </x:c>
    </x:row>
    <x:row r="22" ht="35" customHeight="1">
      <x:c r="A22" s="2"/>
      <x:c r="B22" s="37" t="str">
        <x:v>contract_dep_contract_uid_by_status_nm_wrk_by_product_category_nm_dc_curr_acc_aggcnt</x:v>
      </x:c>
      <x:c r="C22" s="41" t="n">
        <x:v>0</x:v>
      </x:c>
      <x:c r="D22" s="41" t="n">
        <x:v>0.0190012</x:v>
      </x:c>
      <x:c r="E22" s="41" t="n">
        <x:v>0.0274884</x:v>
      </x:c>
      <x:c r="F22" s="41" t="n">
        <x:v>0.0314646</x:v>
      </x:c>
      <x:c r="G22" s="41" t="n">
        <x:v>0.0355627</x:v>
      </x:c>
      <x:c r="H22" s="41" t="n">
        <x:v>0.0107256</x:v>
      </x:c>
      <x:c r="I22" s="40" t="n">
        <x:f>MAX(C22:H22)</x:f>
        <x:v>0.0355627</x:v>
      </x:c>
    </x:row>
    <x:row r="23" ht="35" customHeight="1">
      <x:c r="A23" s="2"/>
      <x:c r="B23" s="34" t="str">
        <x:v>contract_agg_monthly_cred_cc_debt_aggsum_1m</x:v>
      </x:c>
      <x:c r="C23" s="40" t="n">
        <x:v>0</x:v>
      </x:c>
      <x:c r="D23" s="40" t="n">
        <x:v>0.0005923</x:v>
      </x:c>
      <x:c r="E23" s="40" t="n">
        <x:v>0.0011425</x:v>
      </x:c>
      <x:c r="F23" s="40" t="n">
        <x:v>0.0021844</x:v>
      </x:c>
      <x:c r="G23" s="40" t="n">
        <x:v>0.0040623</x:v>
      </x:c>
      <x:c r="H23" s="40" t="n">
        <x:v>0.0049726</x:v>
      </x:c>
      <x:c r="I23" s="40" t="n">
        <x:f>MAX(C23:H23)</x:f>
        <x:v>0.0049726</x:v>
      </x:c>
    </x:row>
    <x:row r="24" ht="35" customHeight="1">
      <x:c r="A24" s="2"/>
      <x:c r="B24" s="37" t="str">
        <x:v>contract_cred_current_debt_amt_by_status_nm_wrk_aggsum</x:v>
      </x:c>
      <x:c r="C24" s="41" t="n">
        <x:v>0</x:v>
      </x:c>
      <x:c r="D24" s="41" t="n">
        <x:v>0.0020924</x:v>
      </x:c>
      <x:c r="E24" s="41" t="n">
        <x:v>0.0024572</x:v>
      </x:c>
      <x:c r="F24" s="41" t="n">
        <x:v>0.0011473</x:v>
      </x:c>
      <x:c r="G24" s="41" t="n">
        <x:v>0.0010743</x:v>
      </x:c>
      <x:c r="H24" s="41" t="n">
        <x:v>0.0055518</x:v>
      </x:c>
      <x:c r="I24" s="40" t="n">
        <x:f>MAX(C24:H24)</x:f>
        <x:v>0.0055518</x:v>
      </x:c>
    </x:row>
    <x:row r="25" ht="35" customHeight="1">
      <x:c r="A25" s="2"/>
      <x:c r="B25" s="34" t="str">
        <x:v>contract_cred_contract_uid_by_product_category_nm_ptb_cc_aggcnt_d730</x:v>
      </x:c>
      <x:c r="C25" s="40" t="n">
        <x:v>0</x:v>
      </x:c>
      <x:c r="D25" s="40" t="n">
        <x:v>0.0083398</x:v>
      </x:c>
      <x:c r="E25" s="40" t="n">
        <x:v>0.0110599</x:v>
      </x:c>
      <x:c r="F25" s="40" t="n">
        <x:v>0.0137813</x:v>
      </x:c>
      <x:c r="G25" s="40" t="n">
        <x:v>0.028888</x:v>
      </x:c>
      <x:c r="H25" s="40" t="n">
        <x:v>0.0324084</x:v>
      </x:c>
      <x:c r="I25" s="40" t="n">
        <x:f>MAX(C25:H25)</x:f>
        <x:v>0.0324084</x:v>
      </x:c>
    </x:row>
    <x:row r="26" ht="35" customHeight="1">
      <x:c r="A26" s="2"/>
      <x:c r="B26" s="37" t="str">
        <x:v>contract_cred_current_debt_amt_by_status_nm_wrk_aggmin</x:v>
      </x:c>
      <x:c r="C26" s="41" t="n">
        <x:v>0</x:v>
      </x:c>
      <x:c r="D26" s="41" t="n">
        <x:v>0.0014037</x:v>
      </x:c>
      <x:c r="E26" s="41" t="n">
        <x:v>0.0061269</x:v>
      </x:c>
      <x:c r="F26" s="41" t="n">
        <x:v>0.0109903</x:v>
      </x:c>
      <x:c r="G26" s="41" t="n">
        <x:v>0.0155323</x:v>
      </x:c>
      <x:c r="H26" s="41" t="n">
        <x:v>0.0177656</x:v>
      </x:c>
      <x:c r="I26" s="40" t="n">
        <x:f>MAX(C26:H26)</x:f>
        <x:v>0.0177656</x:v>
      </x:c>
    </x:row>
    <x:row r="27" ht="35" customHeight="1">
      <x:c r="A27" s="2"/>
      <x:c r="B27" s="34" t="str">
        <x:v>contract_agg_monthly_cred_cntr_current_principal_sum_ratio_last_avg_3m</x:v>
      </x:c>
      <x:c r="C27" s="40" t="n">
        <x:v>0</x:v>
      </x:c>
      <x:c r="D27" s="40" t="n">
        <x:v>0.0018357</x:v>
      </x:c>
      <x:c r="E27" s="40" t="n">
        <x:v>0.0028057</x:v>
      </x:c>
      <x:c r="F27" s="40" t="n">
        <x:v>0.0038397</x:v>
      </x:c>
      <x:c r="G27" s="40" t="n">
        <x:v>0.0061863</x:v>
      </x:c>
      <x:c r="H27" s="40" t="n">
        <x:v>0.0066462</x:v>
      </x:c>
      <x:c r="I27" s="40" t="n">
        <x:f>MAX(C27:H27)</x:f>
        <x:v>0.0066462</x:v>
      </x:c>
    </x:row>
    <x:row r="28" ht="35" customHeight="1">
      <x:c r="A28" s="2"/>
      <x:c r="B28" s="37" t="str">
        <x:v>sf_loanstype_offline_currentdelq_3yopen_aggmax</x:v>
      </x:c>
      <x:c r="C28" s="41" t="n">
        <x:v>0</x:v>
      </x:c>
      <x:c r="D28" s="41" t="n">
        <x:v>0.0310984</x:v>
      </x:c>
      <x:c r="E28" s="41" t="n">
        <x:v>0.0389091</x:v>
      </x:c>
      <x:c r="F28" s="41" t="n">
        <x:v>0.0485363</x:v>
      </x:c>
      <x:c r="G28" s="41" t="n">
        <x:v>0.1074575</x:v>
      </x:c>
      <x:c r="H28" s="41" t="n">
        <x:v>0.0602532</x:v>
      </x:c>
      <x:c r="I28" s="40" t="n">
        <x:f>MAX(C28:H28)</x:f>
        <x:v>0.1074575</x:v>
      </x:c>
    </x:row>
    <x:row r="29" ht="35" customHeight="1">
      <x:c r="A29" s="2"/>
      <x:c r="B29" s="34" t="str">
        <x:v>util_daily_max_180d</x:v>
      </x:c>
      <x:c r="C29" s="40" t="n">
        <x:v>0</x:v>
      </x:c>
      <x:c r="D29" s="40" t="n">
        <x:v>0.0019672</x:v>
      </x:c>
      <x:c r="E29" s="40" t="n">
        <x:v>0.0043065</x:v>
      </x:c>
      <x:c r="F29" s="40" t="n">
        <x:v>0.0073303</x:v>
      </x:c>
      <x:c r="G29" s="40" t="n">
        <x:v>0.0116685</x:v>
      </x:c>
      <x:c r="H29" s="40" t="n">
        <x:v>0.0151227</x:v>
      </x:c>
      <x:c r="I29" s="40" t="n">
        <x:f>MAX(C29:H29)</x:f>
        <x:v>0.0151227</x:v>
      </x:c>
    </x:row>
    <x:row r="30" ht="35" customHeight="1">
      <x:c r="A30" s="2"/>
      <x:c r="B30" s="37" t="str">
        <x:v>contract_cred_contract_amt_by_status_nm_wrk_by_product_category_nm_ptb_cc_aggmin</x:v>
      </x:c>
      <x:c r="C30" s="41" t="n">
        <x:v>0</x:v>
      </x:c>
      <x:c r="D30" s="41" t="n">
        <x:v>0.000833</x:v>
      </x:c>
      <x:c r="E30" s="41" t="n">
        <x:v>0.0033897</x:v>
      </x:c>
      <x:c r="F30" s="41" t="n">
        <x:v>0.0060389</x:v>
      </x:c>
      <x:c r="G30" s="41" t="n">
        <x:v>0.0090936</x:v>
      </x:c>
      <x:c r="H30" s="41" t="n">
        <x:v>0.0097335</x:v>
      </x:c>
      <x:c r="I30" s="40" t="n">
        <x:f>MAX(C30:H30)</x:f>
        <x:v>0.0097335</x:v>
      </x:c>
    </x:row>
    <x:row r="31" ht="35" customHeight="1">
      <x:c r="A31" s="2"/>
      <x:c r="B31" s="34" t="str">
        <x:v>contract_agg_monthly_cred_cc_utilized_limit_aggavg_3m</x:v>
      </x:c>
      <x:c r="C31" s="40" t="n">
        <x:v>0</x:v>
      </x:c>
      <x:c r="D31" s="40" t="n">
        <x:v>0.0007397</x:v>
      </x:c>
      <x:c r="E31" s="40" t="n">
        <x:v>0.0015419</x:v>
      </x:c>
      <x:c r="F31" s="40" t="n">
        <x:v>0.002656</x:v>
      </x:c>
      <x:c r="G31" s="40" t="n">
        <x:v>0.0041473</x:v>
      </x:c>
      <x:c r="H31" s="40" t="n">
        <x:v>0.0053748</x:v>
      </x:c>
      <x:c r="I31" s="40" t="n">
        <x:f>MAX(C31:H31)</x:f>
        <x:v>0.0053748</x:v>
      </x:c>
    </x:row>
    <x:row r="32" ht="35" customHeight="1">
      <x:c r="A32" s="2"/>
      <x:c r="B32" s="37" t="str">
        <x:v>contract_cred_contract_uid_by_status_nm_wrk_aggcnt</x:v>
      </x:c>
      <x:c r="C32" s="41" t="n">
        <x:v>0</x:v>
      </x:c>
      <x:c r="D32" s="41" t="n">
        <x:v>0.0118695</x:v>
      </x:c>
      <x:c r="E32" s="41" t="n">
        <x:v>0.0393581</x:v>
      </x:c>
      <x:c r="F32" s="41" t="n">
        <x:v>0.0294212</x:v>
      </x:c>
      <x:c r="G32" s="41" t="n">
        <x:v>0.0050319</x:v>
      </x:c>
      <x:c r="H32" s="41" t="n">
        <x:v>0.0035373</x:v>
      </x:c>
      <x:c r="I32" s="40" t="n">
        <x:f>MAX(C32:H32)</x:f>
        <x:v>0.0393581</x:v>
      </x:c>
    </x:row>
    <x:row r="33" ht="35" customHeight="1">
      <x:c r="A33" s="2"/>
      <x:c r="B33" s="34" t="str">
        <x:v>crds_cci_max_limit_presale_div_max_limit_tariff_aggmax_d90</x:v>
      </x:c>
      <x:c r="C33" s="40" t="n">
        <x:v>0</x:v>
      </x:c>
      <x:c r="D33" s="40" t="n">
        <x:v>0.0032159</x:v>
      </x:c>
      <x:c r="E33" s="40" t="n">
        <x:v>0.00686</x:v>
      </x:c>
      <x:c r="F33" s="40" t="n">
        <x:v>0.012963</x:v>
      </x:c>
      <x:c r="G33" s="40" t="n">
        <x:v>0.0166656</x:v>
      </x:c>
      <x:c r="H33" s="40" t="n">
        <x:v>0.0300995</x:v>
      </x:c>
      <x:c r="I33" s="40" t="n">
        <x:f>MAX(C33:H33)</x:f>
        <x:v>0.0300995</x:v>
      </x:c>
    </x:row>
    <x:row r="34" ht="35" customHeight="1">
      <x:c r="A34" s="2"/>
      <x:c r="B34" s="37" t="str">
        <x:v>contract_cred_contract_uid_by_status_nm_wrk_div_contract_uid_aggcnt</x:v>
      </x:c>
      <x:c r="C34" s="41" t="n">
        <x:v>0</x:v>
      </x:c>
      <x:c r="D34" s="41" t="n">
        <x:v>0.00004108</x:v>
      </x:c>
      <x:c r="E34" s="41" t="n">
        <x:v>0.0002515</x:v>
      </x:c>
      <x:c r="F34" s="41" t="n">
        <x:v>0.0007193</x:v>
      </x:c>
      <x:c r="G34" s="41" t="n">
        <x:v>0.0015042</x:v>
      </x:c>
      <x:c r="H34" s="41" t="n">
        <x:v>0.0021224</x:v>
      </x:c>
      <x:c r="I34" s="40" t="n">
        <x:f>MAX(C34:H34)</x:f>
        <x:v>0.0021224</x:v>
      </x:c>
    </x:row>
    <x:row r="35" ht="35" customHeight="1">
      <x:c r="A35" s="2"/>
      <x:c r="B35" s="34" t="str">
        <x:v>contract_agg_monthly_cred_cntr_current_interest_rate_1m</x:v>
      </x:c>
      <x:c r="C35" s="40" t="n">
        <x:v>0</x:v>
      </x:c>
      <x:c r="D35" s="40" t="n">
        <x:v>0.0019503</x:v>
      </x:c>
      <x:c r="E35" s="40" t="n">
        <x:v>0.0087976</x:v>
      </x:c>
      <x:c r="F35" s="40" t="n">
        <x:v>0.01616</x:v>
      </x:c>
      <x:c r="G35" s="40" t="n">
        <x:v>0.0309891</x:v>
      </x:c>
      <x:c r="H35" s="40" t="n">
        <x:v>0.0356483</x:v>
      </x:c>
      <x:c r="I35" s="40" t="n">
        <x:f>MAX(C35:H35)</x:f>
        <x:v>0.0356483</x:v>
      </x:c>
    </x:row>
    <x:row r="36" ht="35" customHeight="1">
      <x:c r="A36" s="2"/>
      <x:c r="B36" s="37" t="str">
        <x:v>contract_agg_monthly_cred_cc_principal_aggavg_3m</x:v>
      </x:c>
      <x:c r="C36" s="41" t="n">
        <x:v>0</x:v>
      </x:c>
      <x:c r="D36" s="41" t="n">
        <x:v>0.0008178</x:v>
      </x:c>
      <x:c r="E36" s="41" t="n">
        <x:v>0.0014255</x:v>
      </x:c>
      <x:c r="F36" s="41" t="n">
        <x:v>0.0024853</x:v>
      </x:c>
      <x:c r="G36" s="41" t="n">
        <x:v>0.0039198</x:v>
      </x:c>
      <x:c r="H36" s="41" t="n">
        <x:v>0.0051441</x:v>
      </x:c>
      <x:c r="I36" s="40" t="n">
        <x:f>MAX(C36:H36)</x:f>
        <x:v>0.0051441</x:v>
      </x:c>
    </x:row>
    <x:row r="37" ht="35" customHeight="1">
      <x:c r="A37" s="2"/>
      <x:c r="B37" s="34" t="str">
        <x:v>application_approved_product_by_cardcred_report_dt_diff_open_dt_aggmin</x:v>
      </x:c>
      <x:c r="C37" s="40" t="n">
        <x:v>0</x:v>
      </x:c>
      <x:c r="D37" s="40" t="n">
        <x:v>0.0133299</x:v>
      </x:c>
      <x:c r="E37" s="40" t="n">
        <x:v>0.0289897</x:v>
      </x:c>
      <x:c r="F37" s="40" t="n">
        <x:v>0.038867</x:v>
      </x:c>
      <x:c r="G37" s="40" t="n">
        <x:v>0.039422</x:v>
      </x:c>
      <x:c r="H37" s="40" t="n">
        <x:v>0.0405499</x:v>
      </x:c>
      <x:c r="I37" s="40" t="n">
        <x:f>MAX(C37:H37)</x:f>
        <x:v>0.0405499</x:v>
      </x:c>
    </x:row>
    <x:row r="38" ht="35" customHeight="1">
      <x:c r="A38" s="2"/>
      <x:c r="B38" s="37" t="str">
        <x:v>contract_cred_current_debt_amt_by_status_nm_wrk_aggavg</x:v>
      </x:c>
      <x:c r="C38" s="41" t="n">
        <x:v>0</x:v>
      </x:c>
      <x:c r="D38" s="41" t="n">
        <x:v>0.00006564</x:v>
      </x:c>
      <x:c r="E38" s="41" t="n">
        <x:v>0.0005777</x:v>
      </x:c>
      <x:c r="F38" s="41" t="n">
        <x:v>0.00154</x:v>
      </x:c>
      <x:c r="G38" s="41" t="n">
        <x:v>0.0034559</x:v>
      </x:c>
      <x:c r="H38" s="41" t="n">
        <x:v>0.004776</x:v>
      </x:c>
      <x:c r="I38" s="40" t="n">
        <x:f>MAX(C38:H38)</x:f>
        <x:v>0.004776</x:v>
      </x:c>
    </x:row>
    <x:row r="39" ht="35" customHeight="1">
      <x:c r="A39" s="2"/>
      <x:c r="B39" s="34" t="str">
        <x:v>card_card_uid_by_status_card_nm_aggcnt</x:v>
      </x:c>
      <x:c r="C39" s="40" t="n">
        <x:v>0</x:v>
      </x:c>
      <x:c r="D39" s="40" t="n">
        <x:v>0.0003015</x:v>
      </x:c>
      <x:c r="E39" s="40" t="n">
        <x:v>0.0007674</x:v>
      </x:c>
      <x:c r="F39" s="40" t="n">
        <x:v>0.0013075</x:v>
      </x:c>
      <x:c r="G39" s="40" t="n">
        <x:v>0.0014535</x:v>
      </x:c>
      <x:c r="H39" s="40" t="n">
        <x:v>0.0022826</x:v>
      </x:c>
      <x:c r="I39" s="40" t="n">
        <x:f>MAX(C39:H39)</x:f>
        <x:v>0.0022826</x:v>
      </x:c>
    </x:row>
    <x:row r="40" ht="35" customHeight="1">
      <x:c r="A40" s="2"/>
      <x:c r="B40" s="37" t="str">
        <x:v>contract_cred_contract_amt_by_status_nm_wrk_by_product_category_nm_ptb_cc_aggmax</x:v>
      </x:c>
      <x:c r="C40" s="41" t="n">
        <x:v>0</x:v>
      </x:c>
      <x:c r="D40" s="41" t="n">
        <x:v>0.0002309</x:v>
      </x:c>
      <x:c r="E40" s="41" t="n">
        <x:v>0.0015868</x:v>
      </x:c>
      <x:c r="F40" s="41" t="n">
        <x:v>0.0035203</x:v>
      </x:c>
      <x:c r="G40" s="41" t="n">
        <x:v>0.0072527</x:v>
      </x:c>
      <x:c r="H40" s="41" t="n">
        <x:v>0.0083167</x:v>
      </x:c>
      <x:c r="I40" s="40" t="n">
        <x:f>MAX(C40:H40)</x:f>
        <x:v>0.0083167</x:v>
      </x:c>
    </x:row>
    <x:row r="41" ht="35" customHeight="1">
      <x:c r="A41" s="2"/>
      <x:c r="B41" s="34" t="str">
        <x:v>contract_agg_monthly_cred_cc_debt_aggmax_3m</x:v>
      </x:c>
      <x:c r="C41" s="40" t="n">
        <x:v>0</x:v>
      </x:c>
      <x:c r="D41" s="40" t="n">
        <x:v>0.0008427</x:v>
      </x:c>
      <x:c r="E41" s="40" t="n">
        <x:v>0.0019573</x:v>
      </x:c>
      <x:c r="F41" s="40" t="n">
        <x:v>0.0034011</x:v>
      </x:c>
      <x:c r="G41" s="40" t="n">
        <x:v>0.0051999</x:v>
      </x:c>
      <x:c r="H41" s="40" t="n">
        <x:v>0.0069068</x:v>
      </x:c>
      <x:c r="I41" s="40" t="n">
        <x:f>MAX(C41:H41)</x:f>
        <x:v>0.0069068</x:v>
      </x:c>
    </x:row>
    <x:row r="42" ht="35" customHeight="1">
      <x:c r="A42" s="2"/>
      <x:c r="B42" s="37" t="str">
        <x:v>contract_agg_monthly_cred_cc_principal_aggsum_1m</x:v>
      </x:c>
      <x:c r="C42" s="41" t="n">
        <x:v>0</x:v>
      </x:c>
      <x:c r="D42" s="41" t="n">
        <x:v>0.0005592</x:v>
      </x:c>
      <x:c r="E42" s="41" t="n">
        <x:v>0.0009949</x:v>
      </x:c>
      <x:c r="F42" s="41" t="n">
        <x:v>0.0019948</x:v>
      </x:c>
      <x:c r="G42" s="41" t="n">
        <x:v>0.0037609</x:v>
      </x:c>
      <x:c r="H42" s="41" t="n">
        <x:v>0.0041452</x:v>
      </x:c>
      <x:c r="I42" s="40" t="n">
        <x:f>MAX(C42:H42)</x:f>
        <x:v>0.0041452</x:v>
      </x:c>
    </x:row>
    <x:row r="43" ht="35" customHeight="1">
      <x:c r="A43" s="2"/>
      <x:c r="B43" s="34" t="str">
        <x:v>contract_agg_monthly_cred_cntr_current_debit_client_turn_sum_1m</x:v>
      </x:c>
      <x:c r="C43" s="40" t="n">
        <x:v>0</x:v>
      </x:c>
      <x:c r="D43" s="40" t="n">
        <x:v>0.0019845</x:v>
      </x:c>
      <x:c r="E43" s="40" t="n">
        <x:v>0.0022831</x:v>
      </x:c>
      <x:c r="F43" s="40" t="n">
        <x:v>0.0033139</x:v>
      </x:c>
      <x:c r="G43" s="40" t="n">
        <x:v>0.00261</x:v>
      </x:c>
      <x:c r="H43" s="40" t="n">
        <x:v>0.0032708</x:v>
      </x:c>
      <x:c r="I43" s="40" t="n">
        <x:f>MAX(C43:H43)</x:f>
        <x:v>0.0033139</x:v>
      </x:c>
    </x:row>
    <x:row r="44" ht="35" customHeight="1">
      <x:c r="A44" s="2"/>
      <x:c r="B44" s="37" t="str">
        <x:v>current_debt</x:v>
      </x:c>
      <x:c r="C44" s="41" t="n">
        <x:v>0</x:v>
      </x:c>
      <x:c r="D44" s="41" t="n">
        <x:v>0.0002948</x:v>
      </x:c>
      <x:c r="E44" s="41" t="n">
        <x:v>0.0014609</x:v>
      </x:c>
      <x:c r="F44" s="41" t="n">
        <x:v>0.0032698</x:v>
      </x:c>
      <x:c r="G44" s="41" t="n">
        <x:v>0.0064234</x:v>
      </x:c>
      <x:c r="H44" s="41" t="n">
        <x:v>0.0061559</x:v>
      </x:c>
      <x:c r="I44" s="40" t="n">
        <x:f>MAX(C44:H44)</x:f>
        <x:v>0.0064234</x:v>
      </x:c>
    </x:row>
    <x:row r="45" ht="35" customHeight="1">
      <x:c r="A45" s="2"/>
      <x:c r="B45" s="34" t="str">
        <x:v>contract_agg_monthly_cred_cc_debt_aggavg_3m</x:v>
      </x:c>
      <x:c r="C45" s="40" t="n">
        <x:v>0</x:v>
      </x:c>
      <x:c r="D45" s="40" t="n">
        <x:v>0.001011</x:v>
      </x:c>
      <x:c r="E45" s="40" t="n">
        <x:v>0.0018816</x:v>
      </x:c>
      <x:c r="F45" s="40" t="n">
        <x:v>0.0032075</x:v>
      </x:c>
      <x:c r="G45" s="40" t="n">
        <x:v>0.0049252</x:v>
      </x:c>
      <x:c r="H45" s="40" t="n">
        <x:v>0.0067131</x:v>
      </x:c>
      <x:c r="I45" s="40" t="n">
        <x:f>MAX(C45:H45)</x:f>
        <x:v>0.0067131</x:v>
      </x:c>
    </x:row>
    <x:row r="46" ht="35" customHeight="1">
      <x:c r="A46" s="2"/>
      <x:c r="B46" s="37" t="str">
        <x:v>contract_delinquency_interval_contract_uid_aggcnt_d180</x:v>
      </x:c>
      <x:c r="C46" s="41" t="n">
        <x:v>0</x:v>
      </x:c>
      <x:c r="D46" s="41" t="n">
        <x:v>0.0001841</x:v>
      </x:c>
      <x:c r="E46" s="41" t="n">
        <x:v>0.0002568</x:v>
      </x:c>
      <x:c r="F46" s="41" t="n">
        <x:v>0.0007768</x:v>
      </x:c>
      <x:c r="G46" s="41" t="n">
        <x:v>0.0014832</x:v>
      </x:c>
      <x:c r="H46" s="41" t="n">
        <x:v>0.0018158</x:v>
      </x:c>
      <x:c r="I46" s="40" t="n">
        <x:f>MAX(C46:H46)</x:f>
        <x:v>0.0018158</x:v>
      </x:c>
    </x:row>
    <x:row r="47" ht="35" customHeight="1">
      <x:c r="A47" s="2"/>
      <x:c r="B47" s="34" t="str">
        <x:v>contract_agg_monthly_cred_cntr_paid_principal_sum_cnt_months_pos_3m</x:v>
      </x:c>
      <x:c r="C47" s="40" t="n">
        <x:v>0</x:v>
      </x:c>
      <x:c r="D47" s="40" t="n">
        <x:v>0.0006679</x:v>
      </x:c>
      <x:c r="E47" s="40" t="n">
        <x:v>0.0015829</x:v>
      </x:c>
      <x:c r="F47" s="40" t="n">
        <x:v>0.0015584</x:v>
      </x:c>
      <x:c r="G47" s="40" t="n">
        <x:v>0.0016327</x:v>
      </x:c>
      <x:c r="H47" s="40" t="n">
        <x:v>0.0013333</x:v>
      </x:c>
      <x:c r="I47" s="40" t="n">
        <x:f>MAX(C47:H47)</x:f>
        <x:v>0.0016327</x:v>
      </x:c>
    </x:row>
    <x:row r="48" ht="35" customHeight="1">
      <x:c r="A48" s="2"/>
      <x:c r="B48" s="37" t="str">
        <x:v>contract_agg_monthly_cred_cc_principal_aggmax_3m</x:v>
      </x:c>
      <x:c r="C48" s="41" t="n">
        <x:v>0</x:v>
      </x:c>
      <x:c r="D48" s="41" t="n">
        <x:v>0.0006575</x:v>
      </x:c>
      <x:c r="E48" s="41" t="n">
        <x:v>0.0014895</x:v>
      </x:c>
      <x:c r="F48" s="41" t="n">
        <x:v>0.002741</x:v>
      </x:c>
      <x:c r="G48" s="41" t="n">
        <x:v>0.0045109</x:v>
      </x:c>
      <x:c r="H48" s="41" t="n">
        <x:v>0.0065827</x:v>
      </x:c>
      <x:c r="I48" s="40" t="n">
        <x:f>MAX(C48:H48)</x:f>
        <x:v>0.0065827</x:v>
      </x:c>
    </x:row>
    <x:row r="49" ht="35" customHeight="1">
      <x:c r="A49" s="2"/>
      <x:c r="B49" s="34" t="str">
        <x:v>contract_cred_contract_amt_by_product_category_nm_ptb_cc_aggmax_d90</x:v>
      </x:c>
      <x:c r="C49" s="40" t="n">
        <x:v>0</x:v>
      </x:c>
      <x:c r="D49" s="40" t="n">
        <x:v>0.0026245</x:v>
      </x:c>
      <x:c r="E49" s="40" t="n">
        <x:v>0.0040006</x:v>
      </x:c>
      <x:c r="F49" s="40" t="n">
        <x:v>0.0057175</x:v>
      </x:c>
      <x:c r="G49" s="40" t="n">
        <x:v>0.005222</x:v>
      </x:c>
      <x:c r="H49" s="40" t="n">
        <x:v>0.0159351</x:v>
      </x:c>
      <x:c r="I49" s="40" t="n">
        <x:f>MAX(C49:H49)</x:f>
        <x:v>0.0159351</x:v>
      </x:c>
    </x:row>
    <x:row r="50" ht="35" customHeight="1">
      <x:c r="A50" s="2"/>
      <x:c r="B50" s="37" t="str">
        <x:v>client_birth_diff_death</x:v>
      </x:c>
      <x:c r="C50" s="41" t="n">
        <x:v>0</x:v>
      </x:c>
      <x:c r="D50" s="41" t="n">
        <x:v>0.00006092</x:v>
      </x:c>
      <x:c r="E50" s="41" t="n">
        <x:v>0.0001822</x:v>
      </x:c>
      <x:c r="F50" s="41" t="n">
        <x:v>0.0004849</x:v>
      </x:c>
      <x:c r="G50" s="41" t="n">
        <x:v>0.0011172</x:v>
      </x:c>
      <x:c r="H50" s="41" t="n">
        <x:v>0.0017262</x:v>
      </x:c>
      <x:c r="I50" s="40" t="n">
        <x:f>MAX(C50:H50)</x:f>
        <x:v>0.0017262</x:v>
      </x:c>
    </x:row>
    <x:row r="51" ht="23" customHeight="1">
      <x:c r="A51" s="2"/>
      <x:c r="B51" s="2"/>
      <x:c r="C51" s="2"/>
      <x:c r="D51" s="2"/>
      <x:c r="E51" s="2"/>
      <x:c r="F51" s="2"/>
      <x:c r="G51" s="2"/>
      <x:c r="H51" s="1"/>
      <x:c r="I51" s="1"/>
    </x:row>
    <x:row r="52" ht="23" customHeight="1">
      <x:c r="A52" s="2"/>
      <x:c r="B52" s="4" t="str">
        <x:v>PSI описывает распределение признака. Низкий PSI не гарантирует сохранения его связи с таргетом.</x:v>
      </x:c>
      <x:c r="C52" s="2"/>
      <x:c r="D52" s="2"/>
      <x:c r="E52" s="2"/>
      <x:c r="F52" s="2"/>
      <x:c r="G52" s="2"/>
      <x:c r="H52" s="1"/>
      <x:c r="I5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E829F"/>
  </x:sheetPr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65" hidden="0" customWidth="1"/>
    <x:col min="4" max="4" width="62" hidden="0" customWidth="1"/>
    <x:col min="5" max="5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"/>
      <x:c r="B2" s="3" t="str">
        <x:v>Что проверяли и как считали</x:v>
      </x:c>
      <x:c r="C2" s="2"/>
      <x:c r="D2" s="2"/>
      <x:c r="E2" s="2"/>
      <x:c r="F2" s="2"/>
      <x:c r="G2" s="2"/>
    </x:row>
    <x:row r="3" ht="23" customHeight="1">
      <x:c r="A3" s="2"/>
      <x:c r="B3" s="4" t="str">
        <x:v>Результаты воспроизводятся диагностическими ячейками; новые предложения не считаются выполненными проверками.</x:v>
      </x:c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9" customHeight="1">
      <x:c r="A5" s="2"/>
      <x:c r="B5" s="10" t="str">
        <x:v>Проверка</x:v>
      </x:c>
      <x:c r="C5" s="10" t="str">
        <x:v>Способ расчёта</x:v>
      </x:c>
      <x:c r="D5" s="10" t="str">
        <x:v>Что показывает / ограничение</x:v>
      </x:c>
      <x:c r="E5" s="10" t="str">
        <x:v>Статус</x:v>
      </x:c>
      <x:c r="F5" s="2"/>
      <x:c r="G5" s="2"/>
    </x:row>
    <x:row r="6" ht="85" customHeight="1">
      <x:c r="A6" s="2"/>
      <x:c r="B6" s="42" t="str">
        <x:v>ROC-AUC модели</x:v>
      </x:c>
      <x:c r="C6" s="42" t="str">
        <x:v>roc_auc_score(Y, predict_proba(X)[:,1]); отдельно по месяцам. Сентябрь–декабрь: OOS.</x:v>
      </x:c>
      <x:c r="D6" s="42" t="str">
        <x:v>Ранжирование без порога классификации. Доля таргета и n_eval подписаны отдельно.</x:v>
      </x:c>
      <x:c r="E6" s="42" t="str">
        <x:v>Результаты есть</x:v>
      </x:c>
      <x:c r="F6" s="2"/>
      <x:c r="G6" s="2"/>
    </x:row>
    <x:row r="7" ht="85" customHeight="1">
      <x:c r="A7" s="2"/>
      <x:c r="B7" s="43" t="str">
        <x:v>Состав контрактов</x:v>
      </x:c>
      <x:c r="C7" s="43" t="str">
        <x:v>Сопоставление по contract_uid в паре месяцев. Непрерывные величины присоединены по contract_uid + report_date.</x:v>
      </x:c>
      <x:c r="D7" s="43" t="str">
        <x:v>220 563 общих контракта января–февраля; сохраняется падение AUC.</x:v>
      </x:c>
      <x:c r="E7" s="43" t="str">
        <x:v>Результаты есть</x:v>
      </x:c>
      <x:c r="F7" s="2"/>
      <x:c r="G7" s="2"/>
    </x:row>
    <x:row r="8" ht="85" customHeight="1">
      <x:c r="A8" s="2"/>
      <x:c r="B8" s="42" t="str">
        <x:v>Однофакторный AUC</x:v>
      </x:c>
      <x:c r="C8" s="42" t="str">
        <x:v>Числовой признак как скор; конечные заполненные значения. Полная база и общие контракты отдельно.</x:v>
      </x:c>
      <x:c r="D8" s="42" t="str">
        <x:v>Сила = |AUC−0,5|. Не отражает все нелинейные связи и взаимодействия.</x:v>
      </x:c>
      <x:c r="E8" s="42" t="str">
        <x:v>Результаты есть</x:v>
      </x:c>
      <x:c r="F8" s="2"/>
      <x:c r="G8" s="2"/>
    </x:row>
    <x:row r="9" ht="85" customHeight="1">
      <x:c r="A9" s="2"/>
      <x:c r="B9" s="43" t="str">
        <x:v>Фиксированные интервалы</x:v>
      </x:c>
      <x:c r="C9" s="43" t="str">
        <x:v>Квантили сентября 20/40/60/80%; одинаковые границы всех месяцев. Отдельно пропуски, категории и число строк.</x:v>
      </x:c>
      <x:c r="D9" s="43" t="str">
        <x:v>Доля Y=1 при сопоставимых значениях признака. Ранние январь–февральские таблицы имели январские границы.</x:v>
      </x:c>
      <x:c r="E9" s="43" t="str">
        <x:v>Результаты есть</x:v>
      </x:c>
      <x:c r="F9" s="2"/>
      <x:c r="G9" s="2"/>
    </x:row>
    <x:row r="10" ht="85" customHeight="1">
      <x:c r="A10" s="2"/>
      <x:c r="B10" s="42" t="str">
        <x:v>PSI признаков</x:v>
      </x:c>
      <x:c r="C10" s="42" t="str">
        <x:v>Все 40 признаков. Каждый месяц сравнивается с сентябрём 2025. По коду отбор при max PSI≥0,15 либо положительном тренде, p&lt;0,05 и max PSI&gt;0,10.</x:v>
      </x:c>
      <x:c r="D10" s="42" t="str">
        <x:v>Февраль: все 40 PSI&lt;0,10, максимум 0,0602532. За весь период максимум 0,1074575. Низкий PSI не гарантирует устойчивость связи с Y.</x:v>
      </x:c>
      <x:c r="E10" s="42" t="str">
        <x:v>Значения получены</x:v>
      </x:c>
      <x:c r="F10" s="2"/>
      <x:c r="G10" s="2"/>
    </x:row>
    <x:row r="11" ht="85" customHeight="1">
      <x:c r="A11" s="2"/>
      <x:c r="B11" s="43" t="str">
        <x:v>Переходы таргета</x:v>
      </x:c>
      <x:c r="C11" s="43" t="str">
        <x:v>Четыре перехода на общих контрактах соседних месяцев. Частота 1→0 среди исходных единиц; 0→1 среди исходных нулей.</x:v>
      </x:c>
      <x:c r="D11" s="43" t="str">
        <x:v>Рост смен метки до 5,50%. Нельзя сравнивать частоты с разными знаменателями.</x:v>
      </x:c>
      <x:c r="E11" s="43" t="str">
        <x:v>Результаты есть</x:v>
      </x:c>
      <x:c r="F11" s="2"/>
      <x:c r="G11" s="2"/>
    </x:row>
    <x:row r="12" ht="85" customHeight="1">
      <x:c r="A12" s="2"/>
      <x:c r="B12" s="42" t="str">
        <x:v>Четыре сравнения AUC</x:v>
      </x:c>
      <x:c r="C12" s="42" t="str">
        <x:v>Каждый вид единиц против каждого вида нулей. Вес AUC = доля соответствующих пар единица–ноль.</x:v>
      </x:c>
      <x:c r="D12" s="42" t="str">
        <x:v>Устойчивые исходы тоже разделяются хуже. Между месячными сравнениями меняется состав общих контрактов.</x:v>
      </x:c>
      <x:c r="E12" s="42" t="str">
        <x:v>Результаты есть</x:v>
      </x:c>
      <x:c r="F12" s="2"/>
      <x:c r="G12" s="2"/>
    </x:row>
    <x:row r="13" ht="85" customHeight="1">
      <x:c r="A13" s="2"/>
      <x:c r="B13" s="43" t="str">
        <x:v>Долг и лимит</x:v>
      </x:c>
      <x:c r="C13" s="43" t="str">
        <x:v>Для переходов 1→0 пересчитано отношение нового будущего долга к прежнему лимиту.</x:v>
      </x:c>
      <x:c r="D13" s="43" t="str">
        <x:v>У 95,34% переход сохраняется при прежнем лимите. Проверка механики таргета, без оценки вклада в падение AUC.</x:v>
      </x:c>
      <x:c r="E13" s="43" t="str">
        <x:v>Результаты есть</x:v>
      </x:c>
      <x:c r="F13" s="2"/>
      <x:c r="G13" s="2"/>
    </x:row>
    <x:row r="14" ht="85" customHeight="1">
      <x:c r="A14" s="2"/>
      <x:c r="B14" s="42" t="str">
        <x:v>Возраст и дата клипа</x:v>
      </x:c>
      <x:c r="C14" s="42" t="str">
        <x:v>Разности календарных дат; для переходов берётся первая дата пары. Сравнение частот и AUC по диапазонам.</x:v>
      </x:c>
      <x:c r="D14" s="42" t="str">
        <x:v>Ухудшение во всех диапазонах. 32–34% клипов без даты; 7,7–8,6% дат раньше открытия — смысл нужно уточнить.</x:v>
      </x:c>
      <x:c r="E14" s="42" t="str">
        <x:v>Результаты есть</x:v>
      </x:c>
      <x:c r="F14" s="2"/>
      <x:c r="G14" s="2"/>
    </x:row>
    <x:row r="15" ht="85" customHeight="1">
      <x:c r="A15" s="2"/>
      <x:c r="B15" s="43" t="str">
        <x:v>Варианты обучения</x:v>
      </x:c>
      <x:c r="C15" s="43" t="str">
        <x:v>Сентябрь–декабрь; ноябрь–декабрь; декабрь; одна строка на контракт; исключение 10/13 признаков.</x:v>
      </x:c>
      <x:c r="D15" s="43" t="str">
        <x:v>Общие внешние месяцы. Параметры унаследованы; нет доверительных интервалов и полного нового подбора.</x:v>
      </x:c>
      <x:c r="E15" s="43" t="str">
        <x:v>Результаты есть</x:v>
      </x:c>
      <x:c r="F15" s="2"/>
      <x:c r="G15" s="2"/>
    </x:row>
    <x:row r="16" ht="85" customHeight="1">
      <x:c r="A16" s="2"/>
      <x:c r="B16" s="42" t="str">
        <x:v>Полезность в модели</x:v>
      </x:c>
      <x:c r="C16" s="42" t="str">
        <x:v>Предложено: помесячное изменение AUC при перестановке важных признаков и связанных групп.</x:v>
      </x:c>
      <x:c r="D16" s="42" t="str">
        <x:v>Дополняет gain и однофакторный AUC. Коррелирующие признаки требуют совместной проверки.</x:v>
      </x:c>
      <x:c r="E16" s="42" t="str">
        <x:v>Следующий шаг</x:v>
      </x:c>
      <x:c r="F16" s="2"/>
      <x:c r="G16" s="2"/>
    </x:row>
    <x:row r="17" ht="85" customHeight="1">
      <x:c r="A17" s="2"/>
      <x:c r="B17" s="43" t="str">
        <x:v>Лимит в признаках</x:v>
      </x:c>
      <x:c r="C17" s="43" t="str">
        <x:v>Предложено: абсолютный долг, лимит, utilization и их прошлые изменения; сравнение при изменении лимита.</x:v>
      </x:c>
      <x:c r="D17" s="43" t="str">
        <x:v>Позволит выделить общий знаменатель и отличить его механику от изменения задолженности.</x:v>
      </x:c>
      <x:c r="E17" s="43" t="str">
        <x:v>Следующий шаг</x:v>
      </x:c>
      <x:c r="F17" s="2"/>
      <x:c r="G17" s="2"/>
    </x:row>
    <x:row r="18" ht="85" customHeight="1">
      <x:c r="A18" s="2"/>
      <x:c r="B18" s="42" t="str">
        <x:v>Историческая динамика</x:v>
      </x:c>
      <x:c r="C18" s="42" t="str">
        <x:v>Предложено: изменения до report_date за 30/90 дней, тренды долга и utilization, активность и погашения.</x:v>
      </x:c>
      <x:c r="D18" s="42" t="str">
        <x:v>Использовать только доступную на дату историю. Соседние случайные месячные даты не всегда отстоят на 30 дней.</x:v>
      </x:c>
      <x:c r="E18" s="42" t="str">
        <x:v>Следующий шаг</x:v>
      </x:c>
      <x:c r="F18" s="2"/>
      <x:c r="G18" s="2"/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44" t="str">
        <x:v>Ограничения оценки</x:v>
      </x:c>
      <x:c r="C20" s="2"/>
      <x:c r="D20" s="2"/>
      <x:c r="E20" s="2"/>
      <x:c r="F20" s="2"/>
      <x:c r="G20" s="2"/>
    </x:row>
    <x:row r="21" ht="23" customHeight="1">
      <x:c r="A21" s="2"/>
      <x:c r="B21" s="4" t="str">
        <x:v>PSI-фильтр по коду использует и январь, и февраль. Февраль также многократно использован в диагностике.</x:v>
      </x:c>
      <x:c r="C21" s="2"/>
      <x:c r="D21" s="2"/>
      <x:c r="E21" s="2"/>
      <x:c r="F21" s="2"/>
      <x:c r="G21" s="2"/>
    </x:row>
    <x:row r="22" ht="23" customHeight="1">
      <x:c r="A22" s="2"/>
      <x:c r="B22" s="4" t="str">
        <x:v>Поэтому февраль не является полностью изолированной новой проверкой для дальнейших решений.</x:v>
      </x:c>
      <x:c r="C22" s="2"/>
      <x:c r="D22" s="2"/>
      <x:c r="E22" s="2"/>
      <x:c r="F22" s="2"/>
      <x:c r="G22" s="2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2"/>
      <x:c r="B24" s="4" t="str">
        <x:v>Метод ROC-AUC: https://scikit-learn.org/stable/modules/generated/sklearn.metrics.roc_auc_score.html</x:v>
      </x:c>
      <x:c r="C24" s="2"/>
      <x:c r="D24" s="2"/>
      <x:c r="E24" s="2"/>
      <x:c r="F24" s="2"/>
      <x:c r="G24" s="2"/>
    </x:row>
    <x:row r="25" ht="23" customHeight="1">
      <x:c r="A25" s="2"/>
      <x:c r="B25" s="4" t="str">
        <x:v>Определение PSI: https://www.mathworks.com/help/risk/risk.validation.populationstabilityindex.html</x:v>
      </x:c>
      <x:c r="C25" s="2"/>
      <x:c r="D25" s="2"/>
      <x:c r="E25" s="2"/>
      <x:c r="F25" s="2"/>
      <x:c r="G25" s="2"/>
    </x:row>
    <x:row r="26" ht="23" customHeight="1">
      <x:c r="A26" s="2"/>
      <x:c r="B26" s="4" t="str">
        <x:v>Перестановочная важность: https://scikit-learn.org/stable/modules/permutation_importance.html</x:v>
      </x:c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</x:sheetData>
  <x:pageMargins left="0.7" right="0.7" top="0.75" bottom="0.75" header="0.3" footer="0.3"/>
</x:worksheet>
</file>